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awaf\Downloads\"/>
    </mc:Choice>
  </mc:AlternateContent>
  <xr:revisionPtr revIDLastSave="0" documentId="13_ncr:1_{41A97CAD-EAC7-4813-8A87-BDC1DA46E3FA}" xr6:coauthVersionLast="47" xr6:coauthVersionMax="47" xr10:uidLastSave="{00000000-0000-0000-0000-000000000000}"/>
  <bookViews>
    <workbookView xWindow="1837" yWindow="1837" windowWidth="16201" windowHeight="10523" tabRatio="809" firstSheet="7" activeTab="10" xr2:uid="{00000000-000D-0000-FFFF-FFFF00000000}"/>
  </bookViews>
  <sheets>
    <sheet name="00_Start_Here" sheetId="1" r:id="rId1"/>
    <sheet name="01_Project_Info" sheetId="2" r:id="rId2"/>
    <sheet name="02_Data_Sources" sheetId="3" r:id="rId3"/>
    <sheet name="03_Source_Fields" sheetId="4" r:id="rId4"/>
    <sheet name="04_Input_Checks" sheetId="5" r:id="rId5"/>
    <sheet name="05_Transformations" sheetId="6" r:id="rId6"/>
    <sheet name="06_Enrichment" sheetId="7" r:id="rId7"/>
    <sheet name="07_Target_Fields" sheetId="8" r:id="rId8"/>
    <sheet name="08_Output_Checks" sheetId="9" r:id="rId9"/>
    <sheet name="09_Destination" sheetId="10" r:id="rId10"/>
    <sheet name="10_Pipeline_Ops" sheetId="11" r:id="rId11"/>
    <sheet name="11_Risks_Log" sheetId="12" r:id="rId12"/>
  </sheets>
  <calcPr calcId="0"/>
</workbook>
</file>

<file path=xl/sharedStrings.xml><?xml version="1.0" encoding="utf-8"?>
<sst xmlns="http://schemas.openxmlformats.org/spreadsheetml/2006/main" count="1812" uniqueCount="1106">
  <si>
    <t>Capstone Data Pipeline — Requirements Workbook</t>
  </si>
  <si>
    <t>Fill this in BEFORE you write code. It is your plan, your test list, and part of your final report.</t>
  </si>
  <si>
    <t>HOW TO USE</t>
  </si>
  <si>
    <t>1</t>
  </si>
  <si>
    <t>2</t>
  </si>
  <si>
    <t>3</t>
  </si>
  <si>
    <t>Give every row an ID (SRC-1, CHK-1, TR-1...). Later sheets refer back to those IDs.</t>
  </si>
  <si>
    <t>4</t>
  </si>
  <si>
    <t>Never type a password or API key into this file. Write the environment variable name instead.</t>
  </si>
  <si>
    <t>5</t>
  </si>
  <si>
    <t>SHEET</t>
  </si>
  <si>
    <t>THE QUESTION IT ANSWERS</t>
  </si>
  <si>
    <t>FILL IT IN WHEN</t>
  </si>
  <si>
    <t>01_Project_Info</t>
  </si>
  <si>
    <t>What are we building, for whom, and how do we know it worked?</t>
  </si>
  <si>
    <t>Week 1 — before anything else</t>
  </si>
  <si>
    <t>02_Data_Sources</t>
  </si>
  <si>
    <t>Where does the data come from and how do we connect?</t>
  </si>
  <si>
    <t>Week 1 — after you have access</t>
  </si>
  <si>
    <t>03_Source_Fields</t>
  </si>
  <si>
    <t>What columns exist, what type, and are any of them personal data?</t>
  </si>
  <si>
    <t>After you profile a real sample</t>
  </si>
  <si>
    <t>04_Input_Checks</t>
  </si>
  <si>
    <t>What makes a raw record bad, and what do we do with it?</t>
  </si>
  <si>
    <t>Before writing any transform code</t>
  </si>
  <si>
    <t>05_Transformations</t>
  </si>
  <si>
    <t>How does each source column become a target column?</t>
  </si>
  <si>
    <t>Design step — the core of the pipeline</t>
  </si>
  <si>
    <t>06_Enrichment</t>
  </si>
  <si>
    <t>What extra data do we add, from where, and matched on what?</t>
  </si>
  <si>
    <t>Only if your project enriches data</t>
  </si>
  <si>
    <t>07_Target_Fields</t>
  </si>
  <si>
    <t>What columns does our output have, and where did each one come from?</t>
  </si>
  <si>
    <t>Design step — right after 05 and 06</t>
  </si>
  <si>
    <t>08_Output_Checks</t>
  </si>
  <si>
    <t>How do we prove the load was correct?</t>
  </si>
  <si>
    <t>Same time as 05</t>
  </si>
  <si>
    <t>09_Destination</t>
  </si>
  <si>
    <t>Where does the clean data land and in what shape?</t>
  </si>
  <si>
    <t>Design step</t>
  </si>
  <si>
    <t>10_Pipeline_Ops</t>
  </si>
  <si>
    <t>How does it run, on what schedule, and what happens when it breaks?</t>
  </si>
  <si>
    <t>Before your first scheduled run</t>
  </si>
  <si>
    <t>11_Risks_Log</t>
  </si>
  <si>
    <t>What could go wrong, and what did go wrong?</t>
  </si>
  <si>
    <t>Keep updating all semester</t>
  </si>
  <si>
    <t>MARKING TIP</t>
  </si>
  <si>
    <t>Examiners look for: a stated grain, handled bad data, a reconciliation check, a documented output schema, and honest risks. All five live in this workbook.</t>
  </si>
  <si>
    <t>Question</t>
  </si>
  <si>
    <t>Your answer</t>
  </si>
  <si>
    <t>THE PROJECT</t>
  </si>
  <si>
    <t>Project title</t>
  </si>
  <si>
    <t>Team members and roles</t>
  </si>
  <si>
    <t>Supervisor / instructor</t>
  </si>
  <si>
    <t>Nasr Alani &amp; Maher Selim</t>
  </si>
  <si>
    <t>Problem statement (2–3 sentences)</t>
  </si>
  <si>
    <t>Who uses the output</t>
  </si>
  <si>
    <t>In scope</t>
  </si>
  <si>
    <t>Out of scope</t>
  </si>
  <si>
    <t>Definition of done</t>
  </si>
  <si>
    <t>SUCCESS CRITERIA</t>
  </si>
  <si>
    <t>Success measure 1</t>
  </si>
  <si>
    <t>Success measure 2</t>
  </si>
  <si>
    <t>Success measure 3</t>
  </si>
  <si>
    <t>SETUP</t>
  </si>
  <si>
    <t>GitHub repository URL</t>
  </si>
  <si>
    <t>Tech stack</t>
  </si>
  <si>
    <t>Environments</t>
  </si>
  <si>
    <t>Where secrets are stored</t>
  </si>
  <si>
    <t>Key dates</t>
  </si>
  <si>
    <t>Any personal data involved?</t>
  </si>
  <si>
    <t>2. Data Sources</t>
  </si>
  <si>
    <t>ID</t>
  </si>
  <si>
    <t>Source name</t>
  </si>
  <si>
    <t>Type</t>
  </si>
  <si>
    <t>URL / file path / connection</t>
  </si>
  <si>
    <t>How you authenticate</t>
  </si>
  <si>
    <t>Secret / env variable name</t>
  </si>
  <si>
    <t>Format</t>
  </si>
  <si>
    <t>Size (rows / MB)</t>
  </si>
  <si>
    <t>How often it updates</t>
  </si>
  <si>
    <t>Licence / terms OK?</t>
  </si>
  <si>
    <t>Notes</t>
  </si>
  <si>
    <t>SRC-1</t>
  </si>
  <si>
    <t>Crossref REST API</t>
  </si>
  <si>
    <t>Public API / open data</t>
  </si>
  <si>
    <t>https://www.crossref.org/documentation/retrieve-metadata/rest-api</t>
  </si>
  <si>
    <t>None (public)</t>
  </si>
  <si>
    <t>N/A</t>
  </si>
  <si>
    <t>JSON</t>
  </si>
  <si>
    <t>Azure request uses 100 records per page with cursor pagination. Current extracted record count requires run evidence.</t>
  </si>
  <si>
    <t>Continuously updated</t>
  </si>
  <si>
    <t>SRC-2</t>
  </si>
  <si>
    <t>Public open-data source</t>
  </si>
  <si>
    <t xml:space="preserve">https://pnu.edu.sa/en/Departments/DM/Pages/OpenData.aspx?utm </t>
  </si>
  <si>
    <t>Excel</t>
  </si>
  <si>
    <t>SRC-3</t>
  </si>
  <si>
    <t>King Saud University Open Data</t>
  </si>
  <si>
    <t xml:space="preserve">https://data.ksu.edu.sa/ar/node/1149 </t>
  </si>
  <si>
    <t>Json</t>
  </si>
  <si>
    <t>SRC-4</t>
  </si>
  <si>
    <t>OpenAlex API</t>
  </si>
  <si>
    <t>Public REST API / open scholarly metadata</t>
  </si>
  <si>
    <t>https://api.openalex.org/works</t>
  </si>
  <si>
    <t>Continuously updated; tens of thousands of works are added daily</t>
  </si>
  <si>
    <t>Yes – metadata is CC0; full-text/PDF rights remain separate</t>
  </si>
  <si>
    <t>SRC-5</t>
  </si>
  <si>
    <t>KAUST Research Repository</t>
  </si>
  <si>
    <t>Public research repository / Open data</t>
  </si>
  <si>
    <t>https://repository.kaust.edu.sa/collections/4a3bb319-5b83-45a6-ab35-258eae524631</t>
  </si>
  <si>
    <t>CSV</t>
  </si>
  <si>
    <t>Repository is updated continuously; the bulk CSV used for 2023 is static</t>
  </si>
  <si>
    <t>SRC-6</t>
  </si>
  <si>
    <t>Public institutional research repository</t>
  </si>
  <si>
    <t>data/raw/KFUPM_C1_*_raw.json</t>
  </si>
  <si>
    <t>48 records, 33 raw columns (2023: 2, 2024: 16, 2025: 13, 2026: 17)</t>
  </si>
  <si>
    <t>Ongoing repository updates; current project snapshot covers 2023–2026</t>
  </si>
  <si>
    <t>SRC-7</t>
  </si>
  <si>
    <t>KFUPM Pure – Research Outputs (OAI-PMH)</t>
  </si>
  <si>
    <t>Public institutional research portal (Elsevier Pure)</t>
  </si>
  <si>
    <t>None (public OAI-PMH endpoint; the /ws/api REST service needs a key and is not used)</t>
  </si>
  <si>
    <t>XML (OAI-PMH, MODS 3.8)</t>
  </si>
  <si>
    <t>SRC-8</t>
  </si>
  <si>
    <t>OpenAlex API – King Abdulaziz University (KAU)</t>
  </si>
  <si>
    <t>None (keyless); polite-pool e-mail sent as the mailto parameter</t>
  </si>
  <si>
    <t>N/A (mailto value stored in config.yaml, not a secret)</t>
  </si>
  <si>
    <t>Yes – OpenAlex metadata is CC0</t>
  </si>
  <si>
    <t>filter=institutions.ror:02ma4wv74, from_publication_date:2023-01-01, to_publication_date:2026-12-31, has_doi:true, primary_topic.field.id:fields/17. Without the Computer Science field filter the same query returns 26,963 records.</t>
  </si>
  <si>
    <t>SRC-9</t>
  </si>
  <si>
    <t>OpenAlex API – King Khalid University (KKU)</t>
  </si>
  <si>
    <t>Same filter as SRC-8 with institutions.ror:052kwzs30. Without the field filter the query returns 27,140 records.</t>
  </si>
  <si>
    <t>SRC-10</t>
  </si>
  <si>
    <t>OpenAlex API – Prince Sattam Bin Abdulaziz University (PSAU)</t>
  </si>
  <si>
    <t>3. Source Fields (what the raw data actually looks like)</t>
  </si>
  <si>
    <t>Source ID</t>
  </si>
  <si>
    <t>Column name</t>
  </si>
  <si>
    <t>What it means</t>
  </si>
  <si>
    <t>Data type</t>
  </si>
  <si>
    <t>Can it be empty?</t>
  </si>
  <si>
    <t>Example value</t>
  </si>
  <si>
    <t>% empty in sample</t>
  </si>
  <si>
    <t>Distinct values</t>
  </si>
  <si>
    <t>Personal data?</t>
  </si>
  <si>
    <t>Problems you noticed</t>
  </si>
  <si>
    <t>DOI</t>
  </si>
  <si>
    <t>Unique identifier for the research publication</t>
  </si>
  <si>
    <t>String</t>
  </si>
  <si>
    <t xml:space="preserve">No </t>
  </si>
  <si>
    <t>No</t>
  </si>
  <si>
    <t>title</t>
  </si>
  <si>
    <t>Research title returned by Crossref</t>
  </si>
  <si>
    <t>List / String</t>
  </si>
  <si>
    <t>author</t>
  </si>
  <si>
    <t>Authors of the publication</t>
  </si>
  <si>
    <t>JSON / List</t>
  </si>
  <si>
    <t>Yes</t>
  </si>
  <si>
    <t>publisher</t>
  </si>
  <si>
    <t>Publisher of the research</t>
  </si>
  <si>
    <t>URL</t>
  </si>
  <si>
    <t>DOI / publication URL</t>
  </si>
  <si>
    <t>abstract</t>
  </si>
  <si>
    <t>Publication abstract</t>
  </si>
  <si>
    <t>Text</t>
  </si>
  <si>
    <t>Author affiliation / institution</t>
  </si>
  <si>
    <t>published</t>
  </si>
  <si>
    <t>Publication date</t>
  </si>
  <si>
    <t>JSON / Object</t>
  </si>
  <si>
    <t>Publication Year</t>
  </si>
  <si>
    <t>Integer</t>
  </si>
  <si>
    <t>Month</t>
  </si>
  <si>
    <t>Publication Month</t>
  </si>
  <si>
    <t>January</t>
  </si>
  <si>
    <t>Category</t>
  </si>
  <si>
    <t>Publication indexing category</t>
  </si>
  <si>
    <t>WOS</t>
  </si>
  <si>
    <t>college</t>
  </si>
  <si>
    <t>College name</t>
  </si>
  <si>
    <t>College of Computer and Information Sciences</t>
  </si>
  <si>
    <t>Research field</t>
  </si>
  <si>
    <t>Broad research field</t>
  </si>
  <si>
    <t>Scientific</t>
  </si>
  <si>
    <t>Title</t>
  </si>
  <si>
    <t>Research publication title</t>
  </si>
  <si>
    <t>A Novel Hybrid Dynamic Harris Hawks Optimized Gated Recurrent Unit Approach for Breast Cancer Prediction</t>
  </si>
  <si>
    <t>Source Title</t>
  </si>
  <si>
    <t>Journal/source title</t>
  </si>
  <si>
    <t>INTERNATIONAL JOURNAL OF COMPUTATIONAL INTELLIGENCE SYSTEMS</t>
  </si>
  <si>
    <t>Authors</t>
  </si>
  <si>
    <t>Publication authors</t>
  </si>
  <si>
    <t>String/List</t>
  </si>
  <si>
    <t>No in sample</t>
  </si>
  <si>
    <t>Al-Baadani, HH; Alharthi, AS; Abbas, NI...</t>
  </si>
  <si>
    <t>Article Title</t>
  </si>
  <si>
    <t>Research paper title</t>
  </si>
  <si>
    <t>Big data-based query optimization for business intelligence</t>
  </si>
  <si>
    <t>Journal/source name</t>
  </si>
  <si>
    <t>INTELLIGENT DATA ANALYSIS</t>
  </si>
  <si>
    <t>Document Type</t>
  </si>
  <si>
    <t>Type of publication</t>
  </si>
  <si>
    <t>Article</t>
  </si>
  <si>
    <t>Author Keywords</t>
  </si>
  <si>
    <t>Keywords supplied by authors</t>
  </si>
  <si>
    <t>Big data; query optimization; business intelligence</t>
  </si>
  <si>
    <t>Abstract</t>
  </si>
  <si>
    <t>Business intelligence (BI) is a compilation...</t>
  </si>
  <si>
    <t>Affiliations</t>
  </si>
  <si>
    <t>Author organizations/universities</t>
  </si>
  <si>
    <t>King Saud University; King Saud University</t>
  </si>
  <si>
    <t>Digital Object Identifier</t>
  </si>
  <si>
    <t>10.1177/1088467X251331665</t>
  </si>
  <si>
    <t>id</t>
  </si>
  <si>
    <t>Stable OpenAlex identifier for the scholarly work</t>
  </si>
  <si>
    <t>Title of the scholarly work</t>
  </si>
  <si>
    <t>Rarely / verify in sample</t>
  </si>
  <si>
    <t>doi</t>
  </si>
  <si>
    <t>Digital Object Identifier for the published work</t>
  </si>
  <si>
    <t>publication_date</t>
  </si>
  <si>
    <t>Publication date selected by OpenAlex</t>
  </si>
  <si>
    <t>Date / String</t>
  </si>
  <si>
    <t>type</t>
  </si>
  <si>
    <t>OpenAlex work type</t>
  </si>
  <si>
    <t>article</t>
  </si>
  <si>
    <t>language</t>
  </si>
  <si>
    <t>Detected language of title/abstract metadata</t>
  </si>
  <si>
    <t>en</t>
  </si>
  <si>
    <t>authorships</t>
  </si>
  <si>
    <t>Authors with affiliations/institutions and authorship roles</t>
  </si>
  <si>
    <t>primary_location</t>
  </si>
  <si>
    <t>Best-known publication/source location and landing-page information</t>
  </si>
  <si>
    <t>abstract_inverted_index</t>
  </si>
  <si>
    <t>Abstract represented as words mapped to word positions</t>
  </si>
  <si>
    <t>topics</t>
  </si>
  <si>
    <t>Up to three machine-assigned ranked research topics</t>
  </si>
  <si>
    <t>keywords</t>
  </si>
  <si>
    <t>Machine-derived keyword phrases with relevance scores</t>
  </si>
  <si>
    <t>open_access</t>
  </si>
  <si>
    <t>Open-access status and related OA metadata</t>
  </si>
  <si>
    <t>biblio</t>
  </si>
  <si>
    <t>Bibliographic details such as volume, issue, first page and last page</t>
  </si>
  <si>
    <t>updated_date</t>
  </si>
  <si>
    <t>Timestamp when the OpenAlex work record last changed</t>
  </si>
  <si>
    <t>Datetime / String</t>
  </si>
  <si>
    <t>No / verify</t>
  </si>
  <si>
    <t>Adsorption of Brilliant Blue Dye…</t>
  </si>
  <si>
    <t>String / List</t>
  </si>
  <si>
    <t>Areej, Azwa; Mumtaz, Maimoona…</t>
  </si>
  <si>
    <t>Journal</t>
  </si>
  <si>
    <t>ACS Applied Energy Materials</t>
  </si>
  <si>
    <t>Publisher</t>
  </si>
  <si>
    <t>Publisher name</t>
  </si>
  <si>
    <t>Research Square Platform LLC</t>
  </si>
  <si>
    <t>10.21203/rs.3.rs-2796188/v1</t>
  </si>
  <si>
    <t>Handle</t>
  </si>
  <si>
    <t>KAUST repository record URL</t>
  </si>
  <si>
    <t>http://hdl.handle.net/10754/691095</t>
  </si>
  <si>
    <t>Publication Date</t>
  </si>
  <si>
    <t>Citation</t>
  </si>
  <si>
    <t>Formatted research citation</t>
  </si>
  <si>
    <t>Areej, A., Mumtaz, M.…</t>
  </si>
  <si>
    <t>Research abstract</t>
  </si>
  <si>
    <t>Here we describe the utilization…</t>
  </si>
  <si>
    <t>Link to License</t>
  </si>
  <si>
    <t>Publication license URL</t>
  </si>
  <si>
    <t>https://creativecommons.org/licenses/by/4.0/</t>
  </si>
  <si>
    <t>Status</t>
  </si>
  <si>
    <t>Publication/repository status</t>
  </si>
  <si>
    <t>Under Review</t>
  </si>
  <si>
    <t>Link to PDF</t>
  </si>
  <si>
    <t>Link to research PDF</t>
  </si>
  <si>
    <t>KAUST repository PDF URL</t>
  </si>
  <si>
    <t>Link to Extracted Text</t>
  </si>
  <si>
    <t>Link to extracted full text</t>
  </si>
  <si>
    <t>KAUST extracted-text URL</t>
  </si>
  <si>
    <t>Metadata Last Modified</t>
  </si>
  <si>
    <t>Last metadata update timestamp</t>
  </si>
  <si>
    <t>Datetime</t>
  </si>
  <si>
    <t>2023-04-13T17:00:09</t>
  </si>
  <si>
    <t>eprintid</t>
  </si>
  <si>
    <t>KFUPM repository record identifier</t>
  </si>
  <si>
    <t>Research thesis/dissertation title</t>
  </si>
  <si>
    <t>On the Optimal Deployment of Deep Learning Neural Networks...</t>
  </si>
  <si>
    <t>creators</t>
  </si>
  <si>
    <t>Author information for the research item</t>
  </si>
  <si>
    <t>[{'name': {'given': 'Ahmad', 'family': 'Shawahna'}}]</t>
  </si>
  <si>
    <t>date</t>
  </si>
  <si>
    <t>Publication/degree year</t>
  </si>
  <si>
    <t>Integer / String</t>
  </si>
  <si>
    <t>uri</t>
  </si>
  <si>
    <t>Stable KFUPM repository URL</t>
  </si>
  <si>
    <t>KFUPM repository record URL</t>
  </si>
  <si>
    <t>english_abstract</t>
  </si>
  <si>
    <t>English research abstract</t>
  </si>
  <si>
    <t>Deep learning neural networks (DNNs) have...</t>
  </si>
  <si>
    <t>thesis_type</t>
  </si>
  <si>
    <t>Type of thesis or academic work</t>
  </si>
  <si>
    <t>Masters</t>
  </si>
  <si>
    <t>subjects</t>
  </si>
  <si>
    <t>KFUPM subject classification codes</t>
  </si>
  <si>
    <t>List</t>
  </si>
  <si>
    <t>['F10', 'F18', 'F21']</t>
  </si>
  <si>
    <t>divisions</t>
  </si>
  <si>
    <t>KFUPM division/department classification</t>
  </si>
  <si>
    <t>['C1']</t>
  </si>
  <si>
    <t>institution</t>
  </si>
  <si>
    <t>Awarding/repository institution</t>
  </si>
  <si>
    <t>King Fahd University of Petroleum and Minerals</t>
  </si>
  <si>
    <t>Repository item type</t>
  </si>
  <si>
    <t>thesis</t>
  </si>
  <si>
    <t>advisor</t>
  </si>
  <si>
    <t>Thesis advisor information</t>
  </si>
  <si>
    <t>Advisor metadata</t>
  </si>
  <si>
    <t>Profiled from sample</t>
  </si>
  <si>
    <t>contact_email</t>
  </si>
  <si>
    <t>Contact email associated with the repository record</t>
  </si>
  <si>
    <t>Repository contact email</t>
  </si>
  <si>
    <t>43.75% empty</t>
  </si>
  <si>
    <t>funders</t>
  </si>
  <si>
    <t>Research funding information</t>
  </si>
  <si>
    <t>Funding metadata</t>
  </si>
  <si>
    <t>91.67% empty</t>
  </si>
  <si>
    <t>uuid</t>
  </si>
  <si>
    <t>Stable Pure record identifier</t>
  </si>
  <si>
    <t>3443a389-c276-4e10-a065-8ebffc517844</t>
  </si>
  <si>
    <t>Research output title</t>
  </si>
  <si>
    <t>Survey of Multimodal Federated Learning</t>
  </si>
  <si>
    <t>authors</t>
  </si>
  <si>
    <t>Author given and family names</t>
  </si>
  <si>
    <t>XML / List</t>
  </si>
  <si>
    <t>Sadiq M. Sait</t>
  </si>
  <si>
    <t>department</t>
  </si>
  <si>
    <t>Pure organisational unit (department/centre)</t>
  </si>
  <si>
    <t>Department of Computer Engineering</t>
  </si>
  <si>
    <t>dateIssued</t>
  </si>
  <si>
    <t>Publication date as supplied by Pure</t>
  </si>
  <si>
    <t>This survey reviews multimodal federated...</t>
  </si>
  <si>
    <t>Journal or conference name</t>
  </si>
  <si>
    <t>IEEE Open Journal of the Communications Society</t>
  </si>
  <si>
    <t>10.1109/OJCOMS.2025.3554537</t>
  </si>
  <si>
    <t>url</t>
  </si>
  <si>
    <t>Portal page for the research output</t>
  </si>
  <si>
    <t>https://pure.kfupm.edu.sa/en/publications/&lt;uuid&gt;</t>
  </si>
  <si>
    <t>genre</t>
  </si>
  <si>
    <t>Publication type</t>
  </si>
  <si>
    <t>subject/topic</t>
  </si>
  <si>
    <t>Keywords / subject terms</t>
  </si>
  <si>
    <t>Federated learning; Multimodal</t>
  </si>
  <si>
    <t>SRC-8, SRC-9, SRC-10</t>
  </si>
  <si>
    <t>Stable OpenAlex work identifier</t>
  </si>
  <si>
    <t>https://openalex.org/W4319066461</t>
  </si>
  <si>
    <t>The Internet of Things (IoT) in healthcare: Taking stock and moving forward</t>
  </si>
  <si>
    <t>No (has_doi:true filter)</t>
  </si>
  <si>
    <t>https://doi.org/10.1016/j.iot.2023.100721</t>
  </si>
  <si>
    <t>publication_year</t>
  </si>
  <si>
    <t>Publication year</t>
  </si>
  <si>
    <t>Date selected by OpenAlex</t>
  </si>
  <si>
    <t>Authors with their institutions</t>
  </si>
  <si>
    <t>Abderahman Rejeb; Karim Rejeb; Salem Alghamdi</t>
  </si>
  <si>
    <t>Abstract as a word → positions map</t>
  </si>
  <si>
    <t>{"Recent":[0],"improvements":[1]}</t>
  </si>
  <si>
    <t>Journal or venue name</t>
  </si>
  <si>
    <t>Internet of Things</t>
  </si>
  <si>
    <t>Machine-assigned research field</t>
  </si>
  <si>
    <t>Computer Science</t>
  </si>
  <si>
    <t>Document checks applied during source cleaning and validation. Shared-schema fields may be created during transformation, so these checks do not all run on untouched raw inputs. Final candidate and published-output checks are documented in Sheet 08.</t>
  </si>
  <si>
    <t>Check ID</t>
  </si>
  <si>
    <t>Column</t>
  </si>
  <si>
    <t>Rule (in words)</t>
  </si>
  <si>
    <t>Rule (in code / SQL)</t>
  </si>
  <si>
    <t>Check type</t>
  </si>
  <si>
    <t>If it fails, do what?</t>
  </si>
  <si>
    <t>Where rejected rows go</t>
  </si>
  <si>
    <t>How many failures are acceptable?</t>
  </si>
  <si>
    <t>Test written?</t>
  </si>
  <si>
    <t>CHK-1</t>
  </si>
  <si>
    <t>research_id, university, title, publication_year, source, doi, url, authors</t>
  </si>
  <si>
    <t>Completeness check</t>
  </si>
  <si>
    <t>Apply source-specific cleaning and validation. The updated ValidateCandidate step blocks publication if this rule fails in the candidate dataset.</t>
  </si>
  <si>
    <t>KFUPM and OpenAlex validation rejects are saved under interim/rejected/kfupm/ and interim/rejected/openalex/. Reviewed KAUST, Crossref and KSU data flows have no equivalent rejection sink.</t>
  </si>
  <si>
    <t>0 violations permitted in published data; missing optional dates are allowed.</t>
  </si>
  <si>
    <t>CHK-2</t>
  </si>
  <si>
    <t>KAUST Repository records used in this pipeline must be from 2023</t>
  </si>
  <si>
    <t>publication_year == 2023</t>
  </si>
  <si>
    <t>Range check</t>
  </si>
  <si>
    <t>Exclude records outside the KAUST 2023 scope during cleaning.</t>
  </si>
  <si>
    <t>No separate rejected-record sink was identified in the reviewed KAUST Azure data flow; original raw input is preserved.</t>
  </si>
  <si>
    <t>0 failures</t>
  </si>
  <si>
    <t>Year-filter expression reviewed in Azure code; no separate automated unit-test result verified.</t>
  </si>
  <si>
    <t>CHK-3</t>
  </si>
  <si>
    <t>The Crossref API request covers 2024–2026. The reviewed cleaning validation permits publication years 2023–2026.</t>
  </si>
  <si>
    <t>API date filter: 2024-01-01 through 2026-12-31; cleaning validation: publication_year between 2023 and 2026.</t>
  </si>
  <si>
    <t>Scope and range check</t>
  </si>
  <si>
    <t>Exclude rows failing the cleaning filter.</t>
  </si>
  <si>
    <t>No separate Crossref rejected-record sink was identified in the reviewed Azure data flow; original raw responses are preserved.</t>
  </si>
  <si>
    <t>0 out-of-range records accepted.</t>
  </si>
  <si>
    <t>Request configuration and cleaning expression reviewed; no separate automated unit-test result verified.</t>
  </si>
  <si>
    <t>CHK-4</t>
  </si>
  <si>
    <t>KFUPM records must be between 2023 and 2026</t>
  </si>
  <si>
    <t>publication_year BETWEEN 2023 AND 2026</t>
  </si>
  <si>
    <t>CHK-5</t>
  </si>
  <si>
    <t>Format check</t>
  </si>
  <si>
    <t>CHK-6</t>
  </si>
  <si>
    <t>DOI is mandatory. Missing, blank, placeholder and malformed DOI values must not enter the published dataset. Rejection reporting differs by source.</t>
  </si>
  <si>
    <t>doi is not missing AND matches ^10\.[0-9]{4,9}/\S+$</t>
  </si>
  <si>
    <t>CHK-7</t>
  </si>
  <si>
    <t>If a full publication date is present, it must be parseable as a valid date</t>
  </si>
  <si>
    <t>Source-specific parsing produces a date or null. ValidateCandidate rejects populated dates whose year differs from publication_year. A null publication_date is allowed.</t>
  </si>
  <si>
    <t>Date validity check</t>
  </si>
  <si>
    <t>CHK-8</t>
  </si>
  <si>
    <t>research_id</t>
  </si>
  <si>
    <t>Research ID must be unique</t>
  </si>
  <si>
    <t>ValidateCandidate groups by research_id and fails if any count exceeds 1. The published table also enforces PRIMARY KEY (research_id).</t>
  </si>
  <si>
    <t>Uniqueness check</t>
  </si>
  <si>
    <t>CHK-9</t>
  </si>
  <si>
    <t>SRC-1, SRC-5</t>
  </si>
  <si>
    <t>university</t>
  </si>
  <si>
    <t>KAUST Repository and the configured KAUST Crossref input are assigned university = KAUST.</t>
  </si>
  <si>
    <t>Source-specific mapping assigns the literal KAUST label.</t>
  </si>
  <si>
    <t>Source-label mapping check</t>
  </si>
  <si>
    <t>Investigate an incorrect source label or configuration before publishing.</t>
  </si>
  <si>
    <t>No separate KAUST/Crossref rejection sink was identified in the reviewed Azure data flows.</t>
  </si>
  <si>
    <t>0 incorrectly labelled records accepted.</t>
  </si>
  <si>
    <t>Mapping reviewed in code; publication affiliations were not independently verified.</t>
  </si>
  <si>
    <t>CHK-10</t>
  </si>
  <si>
    <t>KFUPM records must have the configured KFUPM university label.</t>
  </si>
  <si>
    <t>Azure Function mapping assigns KFUPM; source validation checks the expected university value.</t>
  </si>
  <si>
    <t>Allowed-value check</t>
  </si>
  <si>
    <t>Reject records failing source validation and investigate configuration errors.</t>
  </si>
  <si>
    <t>interim/rejected/kfupm/KFUPM_rejected.csv in the saudi-tech-research container.</t>
  </si>
  <si>
    <t>0 invalid university labels accepted.</t>
  </si>
  <si>
    <t>Mapping and validation reviewed in code; publication affiliations were not independently verified.</t>
  </si>
  <si>
    <t>5. Transformation Rules (source column → target column)</t>
  </si>
  <si>
    <t>One row per target column. If a column needs several steps, write several rows and number the order. Every target column here must also appear in sheet 07.</t>
  </si>
  <si>
    <t>Rule ID</t>
  </si>
  <si>
    <t>Source column(s)</t>
  </si>
  <si>
    <t>Target column</t>
  </si>
  <si>
    <t>What kind of change</t>
  </si>
  <si>
    <t>The logic (pseudo-code or SQL)</t>
  </si>
  <si>
    <t>What if the input is null?</t>
  </si>
  <si>
    <t>Output data type</t>
  </si>
  <si>
    <t>Order</t>
  </si>
  <si>
    <t>Why (business reason)</t>
  </si>
  <si>
    <t>R1</t>
  </si>
  <si>
    <t>Source year; KSU annual-file year</t>
  </si>
  <si>
    <t>Year mapping and integer conversion</t>
  </si>
  <si>
    <t>Source-specific cleaning assigns publication_year. KSU uses its annual-file year. Final_Union_DF converts KFUPM and OpenAlex publication_year using toInteger before union.</t>
  </si>
  <si>
    <t>Missing years are not permitted in the destination; PostgreSQL enforces NOT NULL and the range 2023–2026.</t>
  </si>
  <si>
    <t>integer</t>
  </si>
  <si>
    <t>Standardize years across sources while preserving KSU's reported annual-file year.</t>
  </si>
  <si>
    <t>Database audit passed: 0 missing or out-of-range years. This does not verify every year against its original publication.</t>
  </si>
  <si>
    <t>R2</t>
  </si>
  <si>
    <t>has_doi</t>
  </si>
  <si>
    <t>Derived flag</t>
  </si>
  <si>
    <t>In Final_Union_DF: !isNull(doi) &amp;&amp; doi != ''.</t>
  </si>
  <si>
    <t>Returns false for null or empty DOI.</t>
  </si>
  <si>
    <t>boolean</t>
  </si>
  <si>
    <t>Provide a DOI-presence flag; this does not establish DOI validity or correct publication matching.</t>
  </si>
  <si>
    <t>Expression verified in Azure code. Stored flag values have not been independently compared with DOI values.</t>
  </si>
  <si>
    <t>R3</t>
  </si>
  <si>
    <t>abstract_word_count</t>
  </si>
  <si>
    <t>Derived metric</t>
  </si>
  <si>
    <t>In Final_Union_DF: return 0 for null or trimmed-empty abstract; otherwise trim, replace consecutive whitespace with one space, split on spaces and count tokens.</t>
  </si>
  <si>
    <t>Returns 0.</t>
  </si>
  <si>
    <t>Provide a consistent whitespace-based abstract length measure.</t>
  </si>
  <si>
    <t>Expression verified in Azure code. PostgreSQL enforces non-null and nonnegative counts; stored counts have not been independently recalculated.</t>
  </si>
  <si>
    <t>R4</t>
  </si>
  <si>
    <t>Source identifiers</t>
  </si>
  <si>
    <t>Identifier mapping</t>
  </si>
  <si>
    <t>KAUST uses Handle; Crossref uses lowercase trimmed DOI; KFUPM uses KFUPM_ plus UUID; OpenAlex uses OA_ plus work ID and university ROR; KSU uses KSU_ plus annual year and generated zero-based row index.</t>
  </si>
  <si>
    <t>Missing identifiers are not allowed in the destination.</t>
  </si>
  <si>
    <t>text</t>
  </si>
  <si>
    <t>Identify source records; the same publication may have different IDs across universities or sources.</t>
  </si>
  <si>
    <t>Code reviewed; database audit found zero missing IDs and zero duplicate ID groups. KSU row-index stability across runs is not proven.</t>
  </si>
  <si>
    <t>R5</t>
  </si>
  <si>
    <t>Source configuration</t>
  </si>
  <si>
    <t>Source labeling</t>
  </si>
  <si>
    <t>Assign the university associated with the source or OpenAlex university request.</t>
  </si>
  <si>
    <t>Missing values are not allowed.</t>
  </si>
  <si>
    <t>Support university-level analysis.</t>
  </si>
  <si>
    <t>Database constraint restricts values to KAUST, KFUPM, KSU, KAU, KKU and PSAU.</t>
  </si>
  <si>
    <t>R6</t>
  </si>
  <si>
    <t>Source title</t>
  </si>
  <si>
    <t>Field mapping</t>
  </si>
  <si>
    <t>Map the publication title from each source to title using the source-specific cleaner.</t>
  </si>
  <si>
    <t>Missing titles are not allowed in the destination.</t>
  </si>
  <si>
    <t>Provide the publication name for display and technology filtering.</t>
  </si>
  <si>
    <t>R7</t>
  </si>
  <si>
    <t>Source author metadata</t>
  </si>
  <si>
    <t>Field mapping and formatting</t>
  </si>
  <si>
    <t>Map author text or format structured author names into the shared authors field.</t>
  </si>
  <si>
    <t>Missing authors are not allowed in the destination.</t>
  </si>
  <si>
    <t>Preserve publication attribution.</t>
  </si>
  <si>
    <t>Database audit found zero missing authors; author matching was not independently checked.</t>
  </si>
  <si>
    <t>R8</t>
  </si>
  <si>
    <t>Source publication date</t>
  </si>
  <si>
    <t>Date parsing</t>
  </si>
  <si>
    <t>KAUST parses full dates or the date portion of ISO timestamps; Crossref requires year, month and day; KFUPM uses complete-date parsing; KSU and OpenAlex dates are set to null in the reviewed Azure path.</t>
  </si>
  <si>
    <t>Retain null; do not reject solely for a missing date.</t>
  </si>
  <si>
    <t>Store dates where the implemented source mapping provides them.</t>
  </si>
  <si>
    <t>Code reviewed; audit found 5177 missing dates. Stored date-to-year consistency was not tested.</t>
  </si>
  <si>
    <t>R9</t>
  </si>
  <si>
    <t>Source abstract; reviewed enrichment</t>
  </si>
  <si>
    <t>Text mapping and reconstruction</t>
  </si>
  <si>
    <t>Map available source abstracts; reconstruct OpenAlex abstract_inverted_index; apply reviewed KSU missing-value enrichment through EN-1.</t>
  </si>
  <si>
    <t>Retain null when unavailable.</t>
  </si>
  <si>
    <t>Preserve research summaries without inventing missing text.</t>
  </si>
  <si>
    <t>Audit found 419 missing abstracts; four reviewed KSU records have abstracts present.</t>
  </si>
  <si>
    <t>R10</t>
  </si>
  <si>
    <t>KFUPM topics; OpenAlex primary_topic.field.display_name</t>
  </si>
  <si>
    <t>research_field</t>
  </si>
  <si>
    <t>Subject mapping</t>
  </si>
  <si>
    <t>Map KFUPM topics and OpenAlex primary-topic field names; reviewed KAUST, Crossref and KSU data flows initialize null.</t>
  </si>
  <si>
    <t>Retain null.</t>
  </si>
  <si>
    <t>Retain available source subject metadata.</t>
  </si>
  <si>
    <t>Code reviewed; audit found 1756 missing values.</t>
  </si>
  <si>
    <t>R11</t>
  </si>
  <si>
    <t>No assigned source category</t>
  </si>
  <si>
    <t>tech_category</t>
  </si>
  <si>
    <t>Initialize optional field</t>
  </si>
  <si>
    <t>Initialize as null; the pipeline technology filter does not assign a category.</t>
  </si>
  <si>
    <t>Keep the shared schema without inventing classifications.</t>
  </si>
  <si>
    <t>Audit confirmed all 5341 values are missing.</t>
  </si>
  <si>
    <t>R12</t>
  </si>
  <si>
    <t>Source journal or venue</t>
  </si>
  <si>
    <t>journal</t>
  </si>
  <si>
    <t>Map the source journal or venue; OpenAlex uses primary_location.source.display_name.</t>
  </si>
  <si>
    <t>Identify the publication venue.</t>
  </si>
  <si>
    <t>Audit found 324 missing values; venue matching was not independently checked.</t>
  </si>
  <si>
    <t>R13</t>
  </si>
  <si>
    <t>Source DOI; reviewed enrichment</t>
  </si>
  <si>
    <t>Normalization and enrichment</t>
  </si>
  <si>
    <t>Use source-specific DOI normalization and EN-1 for reviewed missing KSU DOIs. Destination constraints require lowercase DOI syntax.</t>
  </si>
  <si>
    <t>Missing DOI is not allowed in the destination.</t>
  </si>
  <si>
    <t>Provide a standardized publication identifier.</t>
  </si>
  <si>
    <t>Audit found zero missing or malformed DOIs; all four reviewed KSU DOI matches are present. DOI resolution was not tested.</t>
  </si>
  <si>
    <t>R14</t>
  </si>
  <si>
    <t>Source record URL; annual dataset URL</t>
  </si>
  <si>
    <t>URL mapping</t>
  </si>
  <si>
    <t>KAUST uses Handle; OpenAlex uses its work URL; KSU uses its annual dataset URL; other sources use their mapped record URLs.</t>
  </si>
  <si>
    <t>Missing URL is not allowed in the destination.</t>
  </si>
  <si>
    <t>Provide a source reference for each record.</t>
  </si>
  <si>
    <t>R15</t>
  </si>
  <si>
    <t>Source-specific label</t>
  </si>
  <si>
    <t>source</t>
  </si>
  <si>
    <t>Assign the metadata-source label during ADF or Azure Function cleaning.</t>
  </si>
  <si>
    <t>Missing source is not allowed in the destination.</t>
  </si>
  <si>
    <t>Preserve source attribution separately from enrichment evidence.</t>
  </si>
  <si>
    <t>Code reviewed; audit found zero missing source values.</t>
  </si>
  <si>
    <t>R16</t>
  </si>
  <si>
    <t>Database loading metadata</t>
  </si>
  <si>
    <t>loaded_at</t>
  </si>
  <si>
    <t>Load timestamp</t>
  </si>
  <si>
    <t>Column exists in the destination but is not among the 15 mapped Final_Union_DF output columns. Its final-table population mechanism remains unverified.</t>
  </si>
  <si>
    <t>Database enforces NOT NULL.</t>
  </si>
  <si>
    <t>timestamp with time zone</t>
  </si>
  <si>
    <t>Load</t>
  </si>
  <si>
    <t>Support load-time traceability.</t>
  </si>
  <si>
    <t>Column type and NOT NULL constraint verified; default expression and stored timestamps were not collected.</t>
  </si>
  <si>
    <t>R17</t>
  </si>
  <si>
    <t>title; author_keywords for KSU; abstract for other universities</t>
  </si>
  <si>
    <t>Filter complete records</t>
  </si>
  <si>
    <t>In Final_Union_DF, build search text from title plus KSU author keywords or other universities' abstracts. Lowercase text, normalize hyphens and whitespace, remove the phrase computer vision syndrome, and apply the configured boundary-aware technology keyword expression. Retain the entire matching record.</t>
  </si>
  <si>
    <t>Treat missing search fields as empty strings; exclude records with no keyword match.</t>
  </si>
  <si>
    <t>Select technology-related candidates while preserving their research IDs and other fields.</t>
  </si>
  <si>
    <t>Expression reviewed in Azure code. The reviewed 21 September run retained 5340 of 22941 input rows; this is execution evidence, not a manual relevance assessment.</t>
  </si>
  <si>
    <t>11. Risks and Issues Log</t>
  </si>
  <si>
    <t>Risk or issue?</t>
  </si>
  <si>
    <t>Description</t>
  </si>
  <si>
    <t>How likely</t>
  </si>
  <si>
    <t>How bad</t>
  </si>
  <si>
    <t>What you will do about it</t>
  </si>
  <si>
    <t>Owner</t>
  </si>
  <si>
    <t>Date raised</t>
  </si>
  <si>
    <t>R-1</t>
  </si>
  <si>
    <t>Risk</t>
  </si>
  <si>
    <t>Medium</t>
  </si>
  <si>
    <t>Rana Almohethef</t>
  </si>
  <si>
    <t>R-2</t>
  </si>
  <si>
    <t>Low</t>
  </si>
  <si>
    <t>R-3</t>
  </si>
  <si>
    <t>Issue</t>
  </si>
  <si>
    <t>SRC-3 (KSU Open Data): Rows are missing DOI, some are missing abstract details</t>
  </si>
  <si>
    <t>Rana Alhasaniah</t>
  </si>
  <si>
    <t>R-4</t>
  </si>
  <si>
    <t>SRC-4 (OpenAlex API): practical API use is subject to a daily usage budget and rate limits; a large unfiltered pull can exhaust the free allowance or receive HTTP 429 responses.</t>
  </si>
  <si>
    <t>R-5</t>
  </si>
  <si>
    <t>SRC-4 (OpenAlex API): important metadata is nested or incomplete. Abstracts can be missing and are returned as an inverted index; authorships/institutions are nested and automated affiliation/topic assignments can contain errors.</t>
  </si>
  <si>
    <t>High</t>
  </si>
  <si>
    <t>R-6</t>
  </si>
  <si>
    <t>SRC-4 (OpenAlex API): OpenAlex metadata is CC0, but linked PDFs/full text retain their original copyright/licence; an open or downloadable file must not automatically be treated as freely reusable.</t>
  </si>
  <si>
    <t>R-7</t>
  </si>
  <si>
    <t>KAUST 2023 metadata contains missing values in DOI (~11.2%), abstract (~5.2%), authors, publication date, journal, licence, and PDF links.</t>
  </si>
  <si>
    <t>R-8</t>
  </si>
  <si>
    <t>KFUPM Computer Engineering has uneven record counts across years; 2023 returned only 2 records compared with 16 in 2024, 13 in 2025, and 17 in 2026. This may indicate incomplete repository coverage for some years.</t>
  </si>
  <si>
    <t>R-9</t>
  </si>
  <si>
    <t>KAUST 2023 raw CSV is approximately 54 MB, above GitHub's recommended file size, which may make cloning and repository operations slower.</t>
  </si>
  <si>
    <t>R-10</t>
  </si>
  <si>
    <t>R-11</t>
  </si>
  <si>
    <t>Closed</t>
  </si>
  <si>
    <t>R-12</t>
  </si>
  <si>
    <t>R-13</t>
  </si>
  <si>
    <t>R-14</t>
  </si>
  <si>
    <t>R-15</t>
  </si>
  <si>
    <t>R-17</t>
  </si>
  <si>
    <t>R-18</t>
  </si>
  <si>
    <t>R-19</t>
  </si>
  <si>
    <t>R-20</t>
  </si>
  <si>
    <t>One KAUST Crossref record has an incomplete publication date; the publication year is available but a complete YYYY-MM-DD date is not provided.</t>
  </si>
  <si>
    <t>R-21</t>
  </si>
  <si>
    <t>R-22</t>
  </si>
  <si>
    <t>R-23</t>
  </si>
  <si>
    <t>Aryam Alotaibi</t>
  </si>
  <si>
    <t>R-24</t>
  </si>
  <si>
    <t>R-25</t>
  </si>
  <si>
    <t>Optional metadata fields such as abstract, publication date, and tech category were unavailable for some records.</t>
  </si>
  <si>
    <t>ISSUE-KSU-DOI-01</t>
  </si>
  <si>
    <t>The earlier enrichment reference omitted the DOI for KSU_2024_86. The corrected Azure reference and final database output have now been checked.</t>
  </si>
  <si>
    <t>Confirmed</t>
  </si>
  <si>
    <t>Verified the corrected reference file and downloaded KSU outputs. The saved PostgreSQL audit on 24 September 2026 confirms the expected research ID, title and DOI for all four reviewed KSU matches, including KSU_2024_86. Abstracts are present. Evidence: db_checks.txt.txt.</t>
  </si>
  <si>
    <t>6. Enrichment (extra data you add from somewhere else)</t>
  </si>
  <si>
    <t>New column(s) added</t>
  </si>
  <si>
    <t>Why you need it</t>
  </si>
  <si>
    <t>Where it comes from</t>
  </si>
  <si>
    <t>Source type</t>
  </si>
  <si>
    <t>URL / file</t>
  </si>
  <si>
    <t>Join key(s)</t>
  </si>
  <si>
    <t>Match logic</t>
  </si>
  <si>
    <t>If no match is found</t>
  </si>
  <si>
    <t>If more than one match</t>
  </si>
  <si>
    <t>Cost / rate limit</t>
  </si>
  <si>
    <t>EN-1</t>
  </si>
  <si>
    <t>doi, abstract — fills missing values in existing columns</t>
  </si>
  <si>
    <t>Curated KSU reference file containing four DOI values attributed to Crossref and three abstracts attributed to OpenAlex, with evidence filenames.</t>
  </si>
  <si>
    <t>Reference JSON file</t>
  </si>
  <si>
    <t>ADLS container: saudi-tech-research; path: reference/ksu_manual_enrichment.json</t>
  </si>
  <si>
    <t>Exact left join on research_id. Fill missing or empty DOI and missing abstract. Preserve existing values; conflicting enrichment DOIs are not reported by this flow.</t>
  </si>
  <si>
    <t>Keep original values when no match exists. Records missing a valid DOI, title or authors are subsequently filtered out; no separate rejection sink is shown.</t>
  </si>
  <si>
    <t>Duplicate research_id values in the enrichment file can multiply joined rows. No enrichment-file uniqueness check was identified in KSU_Clean_DF. The updated final candidate validation blocks publication if duplicate research IDs remain.</t>
  </si>
  <si>
    <t>7. Target Fields (your output data dictionary)</t>
  </si>
  <si>
    <t>One row per column in your final table(s). 'Comes from' must point at a rule ID in sheet 05 or 06 — a column with no source is a column you cannot explain.</t>
  </si>
  <si>
    <t>Target ID</t>
  </si>
  <si>
    <t>Table</t>
  </si>
  <si>
    <t>Key?</t>
  </si>
  <si>
    <t>Comes from (rule ID / source col)</t>
  </si>
  <si>
    <t>PII handling</t>
  </si>
  <si>
    <t>TGT-1</t>
  </si>
  <si>
    <t>research.final_dataset</t>
  </si>
  <si>
    <t>R4 — source-specific identifier mapping</t>
  </si>
  <si>
    <t>KSU_2023_7</t>
  </si>
  <si>
    <t>Source identifier; may link to public author information</t>
  </si>
  <si>
    <t>University associated with the source record</t>
  </si>
  <si>
    <t>R5 — source-specific university label</t>
  </si>
  <si>
    <t>KSU</t>
  </si>
  <si>
    <t>Not personal data</t>
  </si>
  <si>
    <t>Allowed universities enforced by database constraint: KAUST, KFUPM, KSU, KAU, KKU and PSAU.</t>
  </si>
  <si>
    <t>R6 — source title mapping</t>
  </si>
  <si>
    <t>A study of robotics</t>
  </si>
  <si>
    <t>Publication metadata</t>
  </si>
  <si>
    <t>R17 filters complete records using technology keywords. Matches are technology candidates, not manually confirmed classifications. The filter does not populate tech_category.</t>
  </si>
  <si>
    <t>Publication author names</t>
  </si>
  <si>
    <t>R7 — source author mapping</t>
  </si>
  <si>
    <t>Public author names retained</t>
  </si>
  <si>
    <t>Required; do not describe author names as non-personal data.</t>
  </si>
  <si>
    <t>Publication year; KSU uses its annual dataset year</t>
  </si>
  <si>
    <t>R1 — source year mapping and integer conversion</t>
  </si>
  <si>
    <t>Allowed range: 2023–2026. KSU year is the annual file’s reported year.</t>
  </si>
  <si>
    <t>Complete publication date when available</t>
  </si>
  <si>
    <t>Date</t>
  </si>
  <si>
    <t>R8 — source-specific date parsing</t>
  </si>
  <si>
    <t>Publication abstract when available</t>
  </si>
  <si>
    <t>R9; EN-1 — source abstracts and reviewed KSU enrichment</t>
  </si>
  <si>
    <t>Example abstract text</t>
  </si>
  <si>
    <t>Public publication text</t>
  </si>
  <si>
    <t>Source research subject or topic when available</t>
  </si>
  <si>
    <t>R10 — KFUPM topics or OpenAlex primary-topic field</t>
  </si>
  <si>
    <t>Computer engineering</t>
  </si>
  <si>
    <t>Subject metadata</t>
  </si>
  <si>
    <t>Optional. The audit found 1756 missing values. Source coverage and subject terminology vary.</t>
  </si>
  <si>
    <t>Technology category when assigned</t>
  </si>
  <si>
    <t>R11 — initialized as null</t>
  </si>
  <si>
    <t>Subject classification</t>
  </si>
  <si>
    <t>Publication journal or venue when available</t>
  </si>
  <si>
    <t>R12 — source journal or venue mapping</t>
  </si>
  <si>
    <t>Example Journal</t>
  </si>
  <si>
    <t>Publication venue metadata</t>
  </si>
  <si>
    <t>Optional. The audit found 324 missing journal values. Missing journal information does not by itself require rejecting a record.</t>
  </si>
  <si>
    <t>Normalized publication DOI</t>
  </si>
  <si>
    <t>R13; EN-1 — DOI normalization and reviewed KSU enrichment</t>
  </si>
  <si>
    <t>10.1234/example</t>
  </si>
  <si>
    <t>Publication identifier</t>
  </si>
  <si>
    <t>Required. Database constraints enforce non-null, lowercase DOI values and DOI format. The audit found 0 missing or malformed DOIs and 320 repeated DOI groups. DOI is not a unique key</t>
  </si>
  <si>
    <t>Source record URL or KSU annual dataset download URL</t>
  </si>
  <si>
    <t>R14 — source record or annual dataset URL</t>
  </si>
  <si>
    <t>https://example.org/research/1</t>
  </si>
  <si>
    <t>Public source link</t>
  </si>
  <si>
    <t>Identifier of the metadata source</t>
  </si>
  <si>
    <t>R15 — source-specific metadata label</t>
  </si>
  <si>
    <t>Source label identifies the metadata source; detailed enrichment evidence is stored separately.</t>
  </si>
  <si>
    <t>Whether DOI is populated</t>
  </si>
  <si>
    <t>Boolean</t>
  </si>
  <si>
    <t>R2 — DOI-presence flag</t>
  </si>
  <si>
    <t>Recomputed as DOI is not null and not an empty string. This flag does not validate DOI syntax.</t>
  </si>
  <si>
    <t>Number of whitespace-separated words in the abstract</t>
  </si>
  <si>
    <t>R3 — whitespace-based abstract word count</t>
  </si>
  <si>
    <t>Missing abstracts produce 0. Counts whitespace-separated words.</t>
  </si>
  <si>
    <t>Timestamp associated with loading the record</t>
  </si>
  <si>
    <t>R16 — database load metadata; population mechanism unverified</t>
  </si>
  <si>
    <t>Operational metadata</t>
  </si>
  <si>
    <t>8. Output Checks (prove the load was correct)</t>
  </si>
  <si>
    <t>Target table</t>
  </si>
  <si>
    <t>What you are checking</t>
  </si>
  <si>
    <t>The check (SQL)</t>
  </si>
  <si>
    <t>Expected result</t>
  </si>
  <si>
    <t>Tolerance</t>
  </si>
  <si>
    <t>When it runs</t>
  </si>
  <si>
    <t>OUT-1</t>
  </si>
  <si>
    <t>Final data-flow row-count reconciliation</t>
  </si>
  <si>
    <t>Compare ADF input, union, filter and sink counts: 22,941 = 5,340 + 17,601; finalSchema count = sink rowsWritten = 5,340.</t>
  </si>
  <si>
    <t>Difference = 0. Observed counts reconcile for the reviewed 21 September 2026 run.</t>
  </si>
  <si>
    <t>0 rows</t>
  </si>
  <si>
    <t>Investigate discrepancies before approving the output.</t>
  </si>
  <si>
    <t>After each final load; manually reviewed for this run.</t>
  </si>
  <si>
    <t>Manual check completed; no automated reconciliation assertion shown in the reviewed final data flow.</t>
  </si>
  <si>
    <t>OUT-2</t>
  </si>
  <si>
    <t>Research ID uniqueness</t>
  </si>
  <si>
    <t>SELECT research_id, COUNT(*) FROM research.final_dataset GROUP BY research_id HAVING COUNT(*) &gt; 1;</t>
  </si>
  <si>
    <t>0 duplicate groups; observed 0 on 24 September 2026.</t>
  </si>
  <si>
    <t>0 duplicate groups</t>
  </si>
  <si>
    <t>Investigate duplicate IDs before accepting the output.</t>
  </si>
  <si>
    <t>After each load; manually checked on 24 September 2026.</t>
  </si>
  <si>
    <t>SQL executed manually and results saved in db_checks.txt.txt.</t>
  </si>
  <si>
    <t>OUT-3</t>
  </si>
  <si>
    <t>Mandatory-field completeness</t>
  </si>
  <si>
    <t>0 missing values in every mandatory field; observed 0.</t>
  </si>
  <si>
    <t>0 missing values</t>
  </si>
  <si>
    <t>Reject or correct affected records and repeat validation.</t>
  </si>
  <si>
    <t>OUT-4</t>
  </si>
  <si>
    <t>Publication-year and DOI-format checks</t>
  </si>
  <si>
    <t>Check publication_year is within 2023–2026 and DOI matches the normalized DOI pattern in the saved audit query.</t>
  </si>
  <si>
    <t>0 invalid years and 0 invalid DOI formats; observed 0 for both.</t>
  </si>
  <si>
    <t>0 invalid values</t>
  </si>
  <si>
    <t>Investigate and correct affected records before accepting the output.</t>
  </si>
  <si>
    <t>SQL executed manually; format validity does not prove DOI resolution or publication matching.</t>
  </si>
  <si>
    <t>OUT-5</t>
  </si>
  <si>
    <t>Counts by university and year</t>
  </si>
  <si>
    <t>Observed total 5341. Universities: KAU 1400; KAUST 131; KFUPM 211; KKU 1101; KSU 1483; PSAU 1015. Years: 2023 1343; 2024 947; 2025 2357; 2026 694. Both breakdowns sum to 5341.</t>
  </si>
  <si>
    <t>0 difference within the same snapshot</t>
  </si>
  <si>
    <t>Investigate count differences; explain the change from the earlier 5340-row Azure run.</t>
  </si>
  <si>
    <t>Manually checked on 24 September 2026 at 22:09 Riyadh time.</t>
  </si>
  <si>
    <t>OUT-6</t>
  </si>
  <si>
    <t>Repeated DOI review</t>
  </si>
  <si>
    <t>Observed 320 repeated DOI groups; acceptance depends on the agreed record grain and review.</t>
  </si>
  <si>
    <t>Review required</t>
  </si>
  <si>
    <t>Check university and source before deciding whether records are duplicates or legitimate multiple affiliations.</t>
  </si>
  <si>
    <t>After combining sources; manually checked on 24 September 2026.</t>
  </si>
  <si>
    <t>OUT-7</t>
  </si>
  <si>
    <t>research.final_dataset_candidate</t>
  </si>
  <si>
    <t>Candidate validation before publication</t>
  </si>
  <si>
    <t>ValidateCandidate checks non-empty data, eight mandatory fields, allowed universities, all six universities present, integer years 2023–2026, DOI format, URL format, date/year agreement and unique research IDs.</t>
  </si>
  <si>
    <t>Every candidate check passes.</t>
  </si>
  <si>
    <t>0 violations</t>
  </si>
  <si>
    <t>Raise an SQL exception and prevent PublishFinal from running.</t>
  </si>
  <si>
    <t>After RunFinalUnion and before PublishFinal.</t>
  </si>
  <si>
    <t>OUT-8</t>
  </si>
  <si>
    <t>Duplicate DOI within a university</t>
  </si>
  <si>
    <t>Group by university and lower(btrim(doi)); fail if any group contains more than one record.</t>
  </si>
  <si>
    <t>0 duplicate DOI groups within the same university.</t>
  </si>
  <si>
    <t>0 groups</t>
  </si>
  <si>
    <t>Block publication and investigate duplicates.</t>
  </si>
  <si>
    <t>Before publishing the candidate dataset.</t>
  </si>
  <si>
    <t>OUT-9</t>
  </si>
  <si>
    <t>University-level volume decrease</t>
  </si>
  <si>
    <t>Compare candidate and current published row counts per university; fail when a candidate count is less than 80% of the current count.</t>
  </si>
  <si>
    <t>No university decreases by more than 20%.</t>
  </si>
  <si>
    <t>Up to 20% decrease</t>
  </si>
  <si>
    <t>Block publication and investigate missing or reduced source data.</t>
  </si>
  <si>
    <t>OUT-10</t>
  </si>
  <si>
    <t>Post-publication quality checks</t>
  </si>
  <si>
    <t>The quality_check function checks research ID uniqueness, selected required fields for null/blank values, lowercase DOI, DOI format, year range, URL pattern and presence of each configured university.</t>
  </si>
  <si>
    <t>All implemented checks pass.</t>
  </si>
  <si>
    <t>Record failed checks and return HTTP 500 so the ADF activity fails.</t>
  </si>
  <si>
    <t>After publication, before UpdateStats.</t>
  </si>
  <si>
    <t>OUT-11</t>
  </si>
  <si>
    <t>Total volume decrease since last passed check</t>
  </si>
  <si>
    <t>Compare the current total with the most recent passed total in research.quality_checks; fail when the decrease exceeds QC_MAX_DROP, whose code default is 0.2.</t>
  </si>
  <si>
    <t>Decrease does not exceed the configured threshold; the first check has no historical comparison.</t>
  </si>
  <si>
    <t>Code default: 20%; deployed environment override not verified</t>
  </si>
  <si>
    <t>Record the failed check and fail the quality_check activity.</t>
  </si>
  <si>
    <t>As part of the post-publication quality check.</t>
  </si>
  <si>
    <t>9. Destination (where the clean data lands)</t>
  </si>
  <si>
    <t>State the GRAIN of every table in one sentence — 'one row per trip' — before you design anything else.</t>
  </si>
  <si>
    <t>Table / file name</t>
  </si>
  <si>
    <t>Layer</t>
  </si>
  <si>
    <t>Location / connection</t>
  </si>
  <si>
    <t>Grain (one row = ?)</t>
  </si>
  <si>
    <t>Primary key</t>
  </si>
  <si>
    <t>Load pattern</t>
  </si>
  <si>
    <t>Partitioned by</t>
  </si>
  <si>
    <t>Who reads it</t>
  </si>
  <si>
    <t>Azure Database for PostgreSQL table</t>
  </si>
  <si>
    <t>Processed / final</t>
  </si>
  <si>
    <t>research_id; enforced PostgreSQL primary key final_dataset_pkey. The 24 September 2026 audit found zero duplicate research ID groups.</t>
  </si>
  <si>
    <t>Full refresh through a candidate table: Final_Union_DF writes research.final_dataset_candidate; ValidateCandidate checks it; PublishFinal truncates and inserts into research.final_dataset within one PostgreSQL transaction.</t>
  </si>
  <si>
    <t>Not partitioned; confirmed using PostgreSQL pg_get_partkeydef on 24 September 2026.</t>
  </si>
  <si>
    <t>10. How the Pipeline Runs</t>
  </si>
  <si>
    <t>RUNNING IT</t>
  </si>
  <si>
    <t>Orchestration tool</t>
  </si>
  <si>
    <t>Azure Data Factory orchestrates PL_Master, using child pipelines, Mapping Data Flows, SQL scripts and Azure Functions.</t>
  </si>
  <si>
    <t>Schedule</t>
  </si>
  <si>
    <t>On demand. The observed PL_Master run on 21 September 2026 was manually triggered. No scheduled-trigger definition was included in the reviewed ZIP.</t>
  </si>
  <si>
    <t>Pipeline stages in order</t>
  </si>
  <si>
    <t>Read notification URL from Key Vault → KAUST cleaning and merge → Crossref ingestion, cleaning and merge → KSU ingestion, cleaning and enrichment → KFUPM harvest and processing → OpenAlex ingestion and processing → final union and technology filter into candidate table → validate candidate → publish final table in a transaction → post-load quality checks → update source statistics → success or failure notification.</t>
  </si>
  <si>
    <t>How long a full run takes</t>
  </si>
  <si>
    <t>Command to run it locally</t>
  </si>
  <si>
    <t>WHEN IT BREAKS</t>
  </si>
  <si>
    <t>Can you re-run a failed batch safely?</t>
  </si>
  <si>
    <t>Retry policy</t>
  </si>
  <si>
    <t>KFUPM GetPage and SavePage allow 3 retries, 30 seconds apart. Other reviewed Copy, Data Flow, SQL Script and Azure Function activities have 0 activity-level retries.</t>
  </si>
  <si>
    <t>How you find out it failed</t>
  </si>
  <si>
    <t>What gets logged each run</t>
  </si>
  <si>
    <t>How to backfill old data</t>
  </si>
  <si>
    <t>No dedicated backfill command is implemented. Historical processing requires the relevant raw snapshots and supported source/year configuration, followed by a pipeline rerun. Backfill runtime has not been measured</t>
  </si>
  <si>
    <t>QUALITY</t>
  </si>
  <si>
    <t>Where check results are recorded</t>
  </si>
  <si>
    <t>Unit tests — what is covered</t>
  </si>
  <si>
    <t>Integration test</t>
  </si>
  <si>
    <t>CI/CD</t>
  </si>
  <si>
    <t>HANDOVER</t>
  </si>
  <si>
    <t>README covers setup in how many steps?</t>
  </si>
  <si>
    <t>Root README section 9 provides four running and verification steps. Other sections describe architecture, resources, functions, schema and limitations. A complete fresh deployment from the documentation has not been independently tested.</t>
  </si>
  <si>
    <t>Sample data committed?</t>
  </si>
  <si>
    <t>Architecture diagram location</t>
  </si>
  <si>
    <t>docs/architecture/Diraya_Diagram.png, linked from the root README; README section 2 also contains a text architecture flow.</t>
  </si>
  <si>
    <t>Documentation covers Sheets 01–11. Preserve the source IDs and transformation-rule references between sheets.</t>
  </si>
  <si>
    <t>1. Project Information</t>
  </si>
  <si>
    <t>Azure pipeline PL_Ingest_Crossref requests KAUST records using ROR ID 01q3tbs38 and publication dates from 2024-01-01 through 2026-12-31. Results are cleaned and loaded through PostgreSQL staging. Reuse terms have not been verified in this review.</t>
  </si>
  <si>
    <t>PNU Open Data — historical; excluded from final Azure scope</t>
  </si>
  <si>
    <t>Historical raw files: 12,346 (2023), 16,134 (2024), 12,703 (2025); earlier technology candidate subset: 3,535. Final KSU database rows on 24 September 2026: 1,483. Committed website statistics store cleaned 41,183 / validated 15,622; final technology-selected KSU rows are 1,483.</t>
  </si>
  <si>
    <t>KSU annual JSON datasets for 2023–2025. Original downloads preserved. A JSON escaping error in the 2025 file was repaired in a separate working copy. Technology candidates were selected using documented title and keyword rules. The annual file year is used as the reported publication year. After the reviewed enrichment trial, the 12 September 2026 validation run accepted 1,477 KSU records and rejected 2,058 under the mandatory-DOI rule. The 12 September figures are historical local-validation results. The reviewed Azure workflow processes the annual inputs and the 24 September final database contains 1,483 KSU rows.</t>
  </si>
  <si>
    <t>General OpenAlex API reference, not an additional project input count. Specific university requests are SRC-8, SRC-9 and SRC-10.</t>
  </si>
  <si>
    <t>General API description for the three university inputs SRC-8–10. The current pipeline retrieves scoped metadata and reconstructs nested fields; do not add this general reference as a fourth OpenAlex input. Saved KSU reference enrichment is a separate, file-based step.</t>
  </si>
  <si>
    <t>31,086 raw rows (~54 MB); 929 records from 2023; 928 after deduplication Historical source-profile figures; final KAUST output combines repository and Crossref records. Committed website statistics combine KAUST repository/Crossref: cleaned 1,133 / validated 1,020; final KAUST rows 131.</t>
  </si>
  <si>
    <t>Retired ePrints workflow: 48 records, all missing DOI. Under the final mandatory-DOI schema they are rejected, not validated. Preserve as historical evidence; the final pipeline uses KFUPM Pure (SRC-7).</t>
  </si>
  <si>
    <t>https://pure.kfupm.edu.sa/ws/oai → ADLS saudi-tech-research/Raw/kfupm/year{YYYY}_page{NNNN}.xml</t>
  </si>
  <si>
    <t>Historical local harvest: 16,256 records / 165 XML pages; 441 department records; 415 validated. The 21 September Azure union read 416 KFUPM rows. Final KFUPM rows in the 24 September database audit: 211. These counts describe different stages/snapshots. Committed Website/static/data.js additionally stores cleaned 442 / validated 416 for KFUPM; these saved source_stats figures are not a fresh harvest measurement.</t>
  </si>
  <si>
    <t>Upstream metadata may change. Azure raw responses are stored in ADLS; historical local snapshots used data/raw/. A fixed snapshot is needed for reproducible comparisons.</t>
  </si>
  <si>
    <t>Replaces SRC-6. OAI-PMH MODS harvesting and Department of Computer Engineering filtering are implemented. GetPage and SavePage have 3 retries at 30-second intervals. Endpoint availability is not a completed reuse-terms review.</t>
  </si>
  <si>
    <t>https://api.openalex.org/works; ROR 02ma4wv74; Azure raw outputs under saudi-tech-research/Raw/openalex/. Local data/raw paths refer to historical development.</t>
  </si>
  <si>
    <t>Historical scoped input: 2,428. Committed website saved statistics: cleaned 2,429 / validated 2,429. Saved final rows and 24 September database audit: KAU 1,400. Different snapshots/stages.</t>
  </si>
  <si>
    <t>https://api.openalex.org/works; ROR 052kwzs30; Azure raw outputs under saudi-tech-research/Raw/openalex/. Local data/raw paths refer to historical development.</t>
  </si>
  <si>
    <t>Committed website saved statistics: cleaned 1,765 / validated 1,765. Saved final rows and 24 September database audit: KKU 1,101.</t>
  </si>
  <si>
    <t>https://api.openalex.org/works; ROR 04jt46d36; Azure raw outputs under saudi-tech-research/Raw/openalex/. Local data/raw paths refer to historical development.</t>
  </si>
  <si>
    <t>Historical scoped input: 1,691. Committed website saved statistics: cleaned 1,692 / validated 1,692. Saved final rows and 24 September database audit: PSAU 1,015. Different snapshots/stages.</t>
  </si>
  <si>
    <t>Same scoped query as SRC-8 with institutions.ror:04jt46d36. Intended grain permits a work associated with multiple universities. Committed website snapshot checked on 25 September: 320 repeated DOI groups globally, zero repeated (university, normalized DOI) groups. This result applies to the saved snapshot, not a new database query.</t>
  </si>
  <si>
    <t>Raw-field profile and examples. Historical measurements are not final-table validation results. Where no dated sample or denominator is identified, figures require confirmation; unmeasured fields are labelled explicitly.</t>
  </si>
  <si>
    <t>None Historical PNU profile; not in final Azure scope.</t>
  </si>
  <si>
    <t>Stored as text Historical PNU profile; not in final Azure scope.</t>
  </si>
  <si>
    <t>Same value appears as WOS and wos Historical PNU profile; not in final Azure scope.</t>
  </si>
  <si>
    <t>Constant after filtering Historical PNU profile; not in final Azure scope.</t>
  </si>
  <si>
    <t>Very broad; not useful for detailed CS classification Historical PNU profile; not in final Azure scope.</t>
  </si>
  <si>
    <t>Good field for AI classification Historical PNU profile; not in final Azure scope.</t>
  </si>
  <si>
    <t>Journal names may need standardization Historical PNU profile; not in final Azure scope.</t>
  </si>
  <si>
    <t>Unique for all 48 records; used to create research_id as KFUPM-{eprintid} Historical ePrints profile; replaced by KFUPM Pure (SRC-7).</t>
  </si>
  <si>
    <t>Requires whitespace normalization Historical ePrints profile; replaced by KFUPM Pure (SRC-7).</t>
  </si>
  <si>
    <t>Nested structure; author names must be extracted and flattened Historical ePrints profile; replaced by KFUPM Pure (SRC-7).</t>
  </si>
  <si>
    <t>Contains year only, not a complete publication date; month/day must not be inferred Historical ePrints profile; replaced by KFUPM Pure (SRC-7).</t>
  </si>
  <si>
    <t>Unique for all records and used as the canonical URL Historical ePrints profile; replaced by KFUPM Pure (SRC-7).</t>
  </si>
  <si>
    <t>Long free text; whitespace requires normalization Historical ePrints profile; replaced by KFUPM Pure (SRC-7).</t>
  </si>
  <si>
    <t>Values may require normalization if multiple thesis types appear Historical ePrints profile; replaced by KFUPM Pure (SRC-7).</t>
  </si>
  <si>
    <t>Nested/list field; multiple codes must be flattened before use Historical ePrints profile; replaced by KFUPM Pure (SRC-7).</t>
  </si>
  <si>
    <t>List field; current extraction is scoped to Computer Engineering division C1 Historical ePrints profile; replaced by KFUPM Pure (SRC-7).</t>
  </si>
  <si>
    <t>Can be standardized to KFUPM Historical ePrints profile; replaced by KFUPM Pure (SRC-7).</t>
  </si>
  <si>
    <t>Repository-specific type value; may require normalization Historical ePrints profile; replaced by KFUPM Pure (SRC-7).</t>
  </si>
  <si>
    <t>Nested personal-name information; not required in the final common schema Historical ePrints profile; replaced by KFUPM Pure (SRC-7).</t>
  </si>
  <si>
    <t>21 of 48 records are missing; not required in the final dataset Historical ePrints profile; replaced by KFUPM Pure (SRC-7).</t>
  </si>
  <si>
    <t>44 of 48 records are missing; optional and excluded from the common schema Historical ePrints profile; replaced by KFUPM Pure (SRC-7).</t>
  </si>
  <si>
    <t>titleInfo/title + titleInfo/subTitle</t>
  </si>
  <si>
    <t>relatedItem[@type='host']/titleInfo/title</t>
  </si>
  <si>
    <t>primary_location.source.display_name</t>
  </si>
  <si>
    <t>primary_topic.field.display_name</t>
  </si>
  <si>
    <t>4. Source and Input Validation Checks</t>
  </si>
  <si>
    <t>SRC-1, SRC-3, SRC-5, SRC-7, SRC-8, SRC-9, SRC-10</t>
  </si>
  <si>
    <t>Eight mandatory fields must be populated. Candidate checks exclude null, blank and recognized missing-value markers; optional metadata may remain null.</t>
  </si>
  <si>
    <t>ValidateCandidate rejects NULL or lower(trim(value)) IN ('', 'n/a', 'na', 'nan', 'none', 'null', '&lt;na&gt;', 'nat') for each mandatory field.</t>
  </si>
  <si>
    <t>Implementation reviewed in saved code. Manual database audit results are documented separately in Sheet 08; not every rule was independently tested. Additional saved-website check on 25 September: all eight mandatory fields populated across 5,341 rows; not a fresh database execution.</t>
  </si>
  <si>
    <t>Exclude out-of-scope records during cleaning; reject source-validation failures. Candidate failures block publication.</t>
  </si>
  <si>
    <t>Azure Function validation failures: interim/rejected/kfupm/. Records excluded earlier by cleaning scope filters may not appear in that rejection file.</t>
  </si>
  <si>
    <t>ValidateCandidate checks HTTP/HTTPS prefix, a nonempty host-like segment and absence of whitespace; this is syntax validation, not a reachability test.</t>
  </si>
  <si>
    <t>0 violations permitted in published data.</t>
  </si>
  <si>
    <t>Implementation reviewed in saved code. Manual database audit results are documented separately in Sheet 08; not every rule was independently tested.</t>
  </si>
  <si>
    <t>Implementation reviewed in saved code. Manual database audit results are documented separately in Sheet 08; not every rule was independently tested. Additional saved-website check on 25 September found zero repeated research-ID groups.</t>
  </si>
  <si>
    <t>Reviewed for submission on 25 September 2026. Closed means handled under the agreed scope or explicitly superseded, not that missing source data was recovered. Remaining risks stay open/in progress; historical dates are retained unless unambiguous. Blank rows replace the removed template and duplicate entries.</t>
  </si>
  <si>
    <t>In progress</t>
  </si>
  <si>
    <t>Four reviewed DOI matches and three retrieved abstracts are applied through the saved KSU reference. All four expected ID/title/DOI matches are present in the 24 September audit. Broader missing-DOI coverage remains unresolved; records without required values are excluded.</t>
  </si>
  <si>
    <t>Nested parsing, abstract reconstruction and source validation are implemented. Affiliation/topic accuracy remains a limitation. Original raised date is stored as 2026-04-09; team to confirm whether 2026-09-04 was intended.</t>
  </si>
  <si>
    <t>Closed as out of scope: final workflow collects metadata, not linked PDFs/full text. This does not approve reuse of linked documents. Original raised date is stored as 2026-04-09; team to confirm whether 2026-09-04 was intended.</t>
  </si>
  <si>
    <t>Handled for submission by rejecting missing mandatory fields and allowing optional nulls. Original source completeness is not restored. Historical missing-value percentages are not current Azure measurements.</t>
  </si>
  <si>
    <t>Closed as superseded: these 48-record coverage figures refer to retired ePrints (SRC-6), replaced by Pure (SRC-7). Exhaustive Pure coverage has not been proven.</t>
  </si>
  <si>
    <t>Closed as superseded for the Azure submission: raw processing uses ADLS. Repository-size concerns remain historical if the old local repository is distributed.</t>
  </si>
  <si>
    <t>KAUST records come from different source structures: the 2023 repository CSV and 2024–2026 Crossref JSON, so fields and metadata completeness may not match across years.</t>
  </si>
  <si>
    <t>Shared schema and source-specific parsing are implemented. Repository 2023 and Crossref 2024–2026 retain different metadata completeness; monitor source profiles rather than assuming equivalence.</t>
  </si>
  <si>
    <t>Historical: KAUST 2023 contains mixed timezone and non-timezone date formats, which caused datetime conversion errors and temporarily increased missing publication dates from 41 to 5,189.</t>
  </si>
  <si>
    <t>Historical local date-parsing fix retained as closed. The original 41-missing-date count is a historical profile, not a verified current Azure count. Current final-table missing dates: 5,177 in the 24 September audit.</t>
  </si>
  <si>
    <t>Historical: KAUST 2023 contains repeated publication identifiers: 48 duplicate DOI occurrences and 2 repeated handles. Inspection shows repeated handles can represent different publication versions, while some repeated DOI records may be true duplicates.</t>
  </si>
  <si>
    <t>Historical deduplication closure preserved. 24 September database audit found 320 repeated DOI groups. Separate 25 September check of committed website data found 320 global groups and no same-university DOI duplicates; latest live database grouping was not rerun.</t>
  </si>
  <si>
    <t>Historical: Initial KAUST deduplication logic also removed records with missing DOI because duplicate checking was applied to the full dataset, causing 48 rows to be removed instead of the expected 31.</t>
  </si>
  <si>
    <t>Historical cleaning fix retained as closed: preserve missing-DOI original records before validation. Under the final mandatory-DOI rule they must be excluded from published output unless a reviewed DOI is recovered.</t>
  </si>
  <si>
    <t>Historical: KAUST Crossref 2024–2025 contains incomplete optional metadata: 46 of 114 records have no container title and 16 have no abstract.</t>
  </si>
  <si>
    <t>Handled under the agreed schema: abstract and journal are optional; null values do not reject otherwise valid records. The 114-record counts are historical.</t>
  </si>
  <si>
    <t>Historical: KAUST Crossref records contain HTML/JATS markup and escaped newline characters in some titles and abstracts.</t>
  </si>
  <si>
    <t>Historical markup/whitespace cleaning fix retained as closed; not a guarantee that every future source-text anomaly is removed.</t>
  </si>
  <si>
    <t>Historical: KAUST repository source labelled for 2023 contains historical publication records from 2008–2023; only 929 of 31,086 records have a 2023 publication date.</t>
  </si>
  <si>
    <t>Handled: reviewed KAUST Azure cleaning filters publication_year to 2023 while preserving the raw input. Historical source counts describe the earlier profile.</t>
  </si>
  <si>
    <t>Historical: KAUST 2023 contains 113 records without a DOI, while all 928 records have a repository Handle.</t>
  </si>
  <si>
    <t>Handled through mandatory-DOI exclusion, not complete enrichment. Originals are preserved; a Handle is not a substitute for DOI.</t>
  </si>
  <si>
    <t>Historical: KAUST 2023 contains 1 record with missing author information.</t>
  </si>
  <si>
    <t>Handled through mandatory-authors exclusion. Original record remains preserved; closure does not mean authors were recovered.</t>
  </si>
  <si>
    <t>Handled by optional-date policy: retain publication year and null publication_date when a full date is unavailable. Do not invent month/day.</t>
  </si>
  <si>
    <t>Historical: 46 KAUST Crossref records have missing journal information.</t>
  </si>
  <si>
    <t>Handled by nullable journal policy. Missing journal alone does not reject an otherwise valid record. Counts describe the historical Crossref sample.</t>
  </si>
  <si>
    <t>Historical: All 48 KFUPM records provide publication year only and do not include a complete publication date.</t>
  </si>
  <si>
    <t>Closed as superseded: the 48 year-only records are retired ePrints data. Final policy allows null full dates while requiring publication year.</t>
  </si>
  <si>
    <t>Historical: PNU dataset contained missing metadata fields such as authors, DOI, and URL, which affected mandatory schema validation.</t>
  </si>
  <si>
    <t>Historical PNU enrichment/validation closure preserved. PNU is outside the final Azure source set; this is not evidence for current Azure output.</t>
  </si>
  <si>
    <t>Historical: OpenAlex API enrichment was limited by API rate limits, causing failed requests during large-scale processing.</t>
  </si>
  <si>
    <t>Historical: Processing thousands of records through external APIs required long execution time.</t>
  </si>
  <si>
    <t>Historical enrichment trial used filtering to reduce work. Closure applies to that trial; ongoing API runtime risk remains tracked in R-4.</t>
  </si>
  <si>
    <t>Historical: Extracted PNU data structure did not initially match the project common schema.</t>
  </si>
  <si>
    <t>Historical PNU schema mapping closure preserved. PNU is not included in the final Azure output.</t>
  </si>
  <si>
    <t>Handled by agreed optional-null policy. The 24 September audit records missing abstract 419, date 5,177, research_field 1,756, tech_category 5,341 and journal 324. These nulls do not require rejection.</t>
  </si>
  <si>
    <t>Recover missing DOI and abstract values from manually reviewed publication matches before KSU validation. The 24 September 2026 database audit confirmed that all four reviewed research IDs have the expected DOI and a populated abstract.</t>
  </si>
  <si>
    <t>This enrichment step reads a saved file and makes no live API requests. Local website search for 6GTelMED returned the KSU 2024 record with DOI 10.1109/tce.2024.3473291 and an abstract, matching the reviewed record.</t>
  </si>
  <si>
    <t>Source-specific record identifier; KSU identifiers include source row position and may change if source ordering changes.</t>
  </si>
  <si>
    <t>PostgreSQL primary key: final_dataset_pkey. Saved audit on 24 September 2026 found zero repeated research-ID groups.</t>
  </si>
  <si>
    <t>research_id is unique; DOI is not the row key. The committed website snapshot has 5,341 records, 4,984 distinct normalized DOIs, and no duplicate (university, normalized DOI) groups.</t>
  </si>
  <si>
    <t>Optional PostgreSQL date field. The 24 September 2026 audit found 5,177 missing values. Date-to-year consistency was not independently tested in the saved manual audit.</t>
  </si>
  <si>
    <t>Optional. The 24 September 2026 audit found 419 missing abstracts. KSU enrichment fills missing abstracts using the reviewed reference file.</t>
  </si>
  <si>
    <t>Optional. All 5341 records have this field missing. Pipeline keyword selection does not populate it; website topic labels are calculated separately. Website/static/app.js derives display topics from title/abstract keywords; these labels do not fill the PostgreSQL tech_category field.</t>
  </si>
  <si>
    <t>Column exists and NOT NULL is enforced by the saved database audit. Website SAVED_META reports MAX(loaded_at) = 2026-09-22T06:59:43.013798+00:00; this is aggregate cached metadata, not per-row timestamp verification or proof of the database default.</t>
  </si>
  <si>
    <t>Check research_id, university, title, authors, publication_year, doi, url and source for null, blank or null-marker values. The saved manual missing-value test covered NULL, empty string and markers null, none, nan and n/a; candidate validation additionally covers na, &lt;na&gt; and nat.</t>
  </si>
  <si>
    <t>SELECT university, COUNT(*) FROM research.final_dataset GROUP BY university ORDER BY university;
SELECT publication_year, COUNT(*) FROM research.final_dataset GROUP BY publication_year ORDER BY publication_year;
SELECT COUNT(*) FROM research.final_dataset;</t>
  </si>
  <si>
    <t>SELECT lower(btrim(doi)) AS doi, COUNT(*) FROM research.final_dataset WHERE nullif(btrim(doi),'') IS NOT NULL GROUP BY lower(btrim(doi)) HAVING COUNT(*) &gt; 1;</t>
  </si>
  <si>
    <t>Implemented in azure_function/function_app.py. Committed SAVED_META stores a summary for 22 September 2026 07:00:11 UTC: total_rows 5,341; passed true; 8/8 checks passed. Individual check details and latest live history were not retrieved.</t>
  </si>
  <si>
    <t>Code default and logic reviewed. The saved website quality summary reports 8/8 passed but omits individual results, comparison baseline and deployed QC_MAX_DROP; this specific comparison remains unverified.</t>
  </si>
  <si>
    <t>OUT-12</t>
  </si>
  <si>
    <t>Website/static/data.js; Website/diraya.html</t>
  </si>
  <si>
    <t>Saved website snapshot consistency</t>
  </si>
  <si>
    <t>Parse SAVED_ROWS, SAVED_STATS and SAVED_META; compare university/year totals, required fields, DOI/year format and duplicate groups. Compare embedded single-file data to static/data.js.</t>
  </si>
  <si>
    <t>5,341 rows; 6 universities; 0 missing required fields; 0 invalid DOI/year; 0 duplicate IDs or same-university DOI groups. Embedded and static saved data match.</t>
  </si>
  <si>
    <t>0 data-check violations observed</t>
  </si>
  <si>
    <t>Reconcile README validated total 22,943 versus saved website statistics 22,944 before claiming one common run total.</t>
  </si>
  <si>
    <t>Passed saved-data checks and basic local UI checks. Search 6GTelMED, record expansion and Arabic switch worked. Current live website/database operation remains untested.</t>
  </si>
  <si>
    <t>Database: research_hub; schema: research; table: final_dataset; linked service: LS_Postgres. Updated flow writes DS_Final_Dataset_Candidate; SQL PublishFinal loads the final table.</t>
  </si>
  <si>
    <t>One technology-selected source research record associated with a university. research_id is the PostgreSQL primary key. Multiple universities may share a DOI. The committed website snapshot has zero duplicate (university, normalized DOI) groups; the saved manual database audit did not test that grouping.</t>
  </si>
  <si>
    <t>Updated Final_Union_DF maps 15 fields into research.final_dataset_candidate; PublishFinal inserts those fields into research.final_dataset. The final table has 16 columns including loaded_at. Constraints enforce primary key, mandatory NOT NULL fields, allowed universities, year range, DOI format/lowercase, URL prefix and nonnegative word count. Audit on 24 September 2026: 5,341 rows. Older run on 21 September: 5,340 rows written. loaded_at population mechanism remains unverified. Website wording “13 Normalized Fields” refers to the shared schema; the data flow maps 15 fields, the table has 16, and the website paper payload projects 10. These are different layers, not conflicting column counts.</t>
  </si>
  <si>
    <t>TGT-2</t>
  </si>
  <si>
    <t>Website presentation / offline copy</t>
  </si>
  <si>
    <t>One saved source research record associated with a university; same grain as TGT-1</t>
  </si>
  <si>
    <t>research_id; 0 duplicate groups in checked snapshot</t>
  </si>
  <si>
    <t>Manual snapshot refresh: python make_data_js.py --db. Standalone file rebuild: python build_single.py. No automatic pipeline refresh of GitHub assets was identified.</t>
  </si>
  <si>
    <t>Not partitioned</t>
  </si>
  <si>
    <t>Browser-based Diraya dashboard, search, charts and saved-mode fallback</t>
  </si>
  <si>
    <t>5,341 rows with 10 paper fields; 6 universities; SAVED_STATS total 22,944 validated. SAVED_META reports 22 September load/check times. Both committed website formats contain identical saved data. Statistics/meta may remain cached when their endpoints fail even if papers load live.</t>
  </si>
  <si>
    <t>The final Azure workflow is started through Data Factory Studio: Author → PL_Master → Add trigger → Trigger now. No local command for invoking the deployed pipeline is documented in the supplied repository. Website only: open Website/static/index.html or Website/diraya.html for saved mode; python server.py inside Website serves the database-backed mode. These are not commands to run the Azure pipeline.</t>
  </si>
  <si>
    <t>The updated code loads a candidate table and validates it before publication. PublishFinal truncates and inserts into research.final_dataset within one transaction, protecting the published table if that transaction fails. Earlier source-processing steps are not one atomic transaction: raw pages may remain stale and source upserts do not delete removed records. Live API results may change. Full rerun equivalence and idempotency were not independently tested.</t>
  </si>
  <si>
    <t>Inspect ADF Monitor → Pipeline runs → Activity runs. Updated PL_Master code includes EmailSuccess and EmailFailure web activities using a Logic App URL obtained from Key Vault. Notification delivery has not been independently verified.</t>
  </si>
  <si>
    <t>ADF records run/activity status, timing and data-flow metrics; processing functions return counts/output paths. quality_check stores research.quality_checks; update_stats writes research.source_stats. Manual database audit: 24 September 2026. Committed website SAVED_META caches last_loaded 22 September 06:59:43 UTC, stats_updated 07:00:35 UTC, and quality summary 07:00:11 UTC (5,341 rows; 8/8 passed). Cache is not a live history query.</t>
  </si>
  <si>
    <t>Updated quality_check code stores post-load results in research.quality_checks. ValidateCandidate raises an error when a pre-publication rule fails. KFUPM and OpenAlex rejection files and failure summaries are stored under interim/rejected/kfupm/ and interim/rejected/openalex/. Reviewed KAUST, Crossref and KSU data flows do not provide equivalent rejected-record files. Manual audit evidence is saved in db_checks.txt.txt. A saved quality summary is present in Website/static/data.js; individual per-check details are not included there.</t>
  </si>
  <si>
    <t>Observed end-to-end execution: PL_Master succeeded on 21 September 2026 in 56m 49s. Run ID: 03a8840a-5a00-4b9d-b2ab-241b1b60fec2. All six master activities succeeded. Final data-flow metrics show 22,941 input rows and 5,340 rows written after technology filtering. This was the older six-activity version. Execution of the expanded candidate-validation, quality-check, statistics and email steps is not established by this run. Additional 25 September local saved-mode website smoke check: counts, search, record details and Arabic display passed. This did not connect to Azure or verify expanded master-run execution. Presentation limitations observed: Rana Saad photo and custom Vexa font files are absent; the page uses initials/font fallbacks. This was a basic functional check, not complete UI coverage.</t>
  </si>
  <si>
    <t xml:space="preserve">One row per source. </t>
  </si>
  <si>
    <t>Research metadata for KAUST, KFUPM, KSU, KAU, KKU and PSAU, within 2023–2026. KSU annual files cover 2023–2025.</t>
  </si>
  <si>
    <t>Project documentation corrected on 25 September 2026.</t>
  </si>
  <si>
    <t xml:space="preserve">Historical PNU profiling/enrichment evidence only. PNU is not one of the six universities in the reviewed final Azure output because it was rejected by the enforced schema it had misssing data on the mandatory fields. </t>
  </si>
  <si>
    <t xml:space="preserve">Academic year </t>
  </si>
  <si>
    <t xml:space="preserve">Yearly </t>
  </si>
  <si>
    <t>The raw repository file contains records from 2008–2023 despite being labelled for 2023. The working dataset is filtered to publication_year = 2023 before deduplication. Reuse terms are not in this review.</t>
  </si>
  <si>
    <t>KFUPM ePrints — historical</t>
  </si>
  <si>
    <t>Profile of all 5,887 raw records supplied in openALEX.rar: KAU 2,432; KKU 1,760; PSAU 1,695. Combined distinct OpenAlex IDs: 5,529. Shared works across university files are retained.</t>
  </si>
  <si>
    <t>Measured on the same 5,887 records. Distinct titles are case-sensitive after trimming outer whitespace; identical titles do not necessarily identify duplicate publications.</t>
  </si>
  <si>
    <t>No missing DOI values in these supplied files. Distinct counts use raw DOI strings; no DOI-prefix normalization was applied.</t>
  </si>
  <si>
    <t>No missing raw publication_date values. This does not establish full date precision; the pipeline leaves OpenAlex publication_date null.</t>
  </si>
  <si>
    <t>18 distinct raw work types in the supplied files.</t>
  </si>
  <si>
    <t>469 of 5,887 records have missing language values.</t>
  </si>
  <si>
    <t>Distinct values count complete nonempty authorships arrays, not individual authors. Array order is retained; JSON object-key order is ignored.</t>
  </si>
  <si>
    <t>Distinct values count complete primary_location objects. A present object may still contain missing nested fields.</t>
  </si>
  <si>
    <t>1,074 of 5,887 records lack an abstract inverted index. Distinct values count complete nonempty word-position maps.</t>
  </si>
  <si>
    <t>Distinct values count complete topics arrays, not individual topic names. Automated topic assignments are not manually verified classifications.</t>
  </si>
  <si>
    <t>One record has an empty keywords field. Distinct values count complete nonempty keyword arrays, not individual keywords.</t>
  </si>
  <si>
    <t>Distinct values count complete open_access objects. Object presence does not establish permission to reuse linked full text.</t>
  </si>
  <si>
    <t>No missing top-level biblio objects. Nested volume, issue or page fields may still be null; the percentage does not measure completeness of those subfields.</t>
  </si>
  <si>
    <t>83 distinct raw updated_date values. This is source-record metadata, not the pipeline execution date.</t>
  </si>
  <si>
    <t>All 5,887 supplied raw records were profiled before cleaning/filtering. KAU: 2,432; KKU: 1,760; PSAU: 1,695. There are 5,529 distinct OpenAlex IDs across the three files; shared works remain in each university input.</t>
  </si>
  <si>
    <t>5,463 distinct nonempty titles after trimming outer whitespace; case retained. Title equality alone is not proof of duplicate publications.</t>
  </si>
  <si>
    <t>5,529 distinct raw DOI strings; zero missing. These measurements describe the supplied raw files, not the earlier final-database snapshot.</t>
  </si>
  <si>
    <t>Raw records by year: 2023 = 1,670; 2024 = 1,580; 2025 = 1,614; 2026 = 1,023. Total = 5,887.</t>
  </si>
  <si>
    <t>Raw dates are populated, but date precision was not verified. The reviewed pipeline leaves OpenAlex publication_date null.</t>
  </si>
  <si>
    <t>5,455 distinct complete authorships arrays, not individual authors or flattened author-name strings. Nested names are extracted later during transformation.</t>
  </si>
  <si>
    <t>1,074 missing abstract inverted indexes out of 5,887 records (18.24%). Nonempty maps are reconstructed into text during transformation.</t>
  </si>
  <si>
    <t>423 records lack primary_location.source.display_name (7.19%). There are 1,242 distinct nonempty raw venue names.</t>
  </si>
  <si>
    <t>One distinct nonempty primary_topic.field.display_name: Computer Science. This reflects the configured source filter.</t>
  </si>
  <si>
    <t>Sample: year2023_page0010.xml, year2024_page0010.xml, year2025_page0010.xml and year2026_page0010.xml from yy__ads.rar. Each contains 100 records; total 400. Responses dated 25 September 2026. Before department filtering; not a random sample or full-harvest measurement. All 400 UUIDs are distinct.</t>
  </si>
  <si>
    <t>399 distinct combined title/subtitle values across 400 records. Repeated title text alone does not establish duplicate publications.</t>
  </si>
  <si>
    <t>395 distinct complete author-name strings, not individual authors. Given/family names are combined using the project parser; whitespace is normalized.</t>
  </si>
  <si>
    <t>173 distinct complete organisational-unit lists, not individual departments. List order is retained. Only 11 of the 400 sampled records include Department of Computer Engineering.</t>
  </si>
  <si>
    <t>127 distinct dateIssued values. Precision: 107 year-only, 163 year-month and 130 full dates. All 400 have a value; missing month/day components are not invented.</t>
  </si>
  <si>
    <t>6 of 400 records lack an abstract (1.50%). There are 394 distinct nonempty abstracts after the project parser normalizes whitespace.</t>
  </si>
  <si>
    <t>3 of 400 records lack the host journal/venue title (0.75%). There are 251 distinct nonempty venue names.</t>
  </si>
  <si>
    <t>6 of 400 records lack DOI (1.50%). There are 394 distinct nonempty raw DOI values; these figures apply only to this sample.</t>
  </si>
  <si>
    <t>400 populated, distinct URLs extracted using the project parser. URL accessibility was not tested.</t>
  </si>
  <si>
    <t>10 distinct genre values in this sample, before excluding publication types during cleaning.</t>
  </si>
  <si>
    <t>202 of 400 records lack subject/topic values (50.50%). There are 55 distinct complete nonempty topic strings, not individual topic terms.</t>
  </si>
  <si>
    <t>Full-file profile of KAUST_2023_raw.csv: 31,086 records before year filtering, cleaning or deduplication. Distinct values exclude missing values, trim outer whitespace and preserve case. The filename does not mean every record was published in 2023.</t>
  </si>
  <si>
    <t>37 missing author fields. Distinct counts describe complete author strings, not individual authors.</t>
  </si>
  <si>
    <t>7,116 missing journal values. Distinct venue names are not standardized.</t>
  </si>
  <si>
    <t>1,683 missing publisher values. Distinct publisher names are not standardized.</t>
  </si>
  <si>
    <t>3,482 missing DOI values. Distinct counts use raw trimmed strings without lowercasing or removing URL prefixes.</t>
  </si>
  <si>
    <t>1 missing Handle; 31,083 distinct nonempty Handle strings. Repeated Handles require review rather than automatic deletion.</t>
  </si>
  <si>
    <t>41 missing publication dates. Distinct counts use raw date strings; formats and date precision may differ.</t>
  </si>
  <si>
    <t>3,519 missing citations. Citation strings contain public author names.</t>
  </si>
  <si>
    <t>1,608 missing abstracts. Distinct counts preserve text casing and internal whitespace.</t>
  </si>
  <si>
    <t>25,689 missing licence links. Presence of a link alone does not establish reuse permission.</t>
  </si>
  <si>
    <t>No missing status values; 3 distinct values.</t>
  </si>
  <si>
    <t>14,698 missing PDF links. Link accessibility was not tested; full-text collection is outside the final pipeline scope.</t>
  </si>
  <si>
    <t>14,698 missing extracted-text links. Link accessibility was not tested.</t>
  </si>
  <si>
    <t>No missing metadata-update timestamps. These describe repository metadata changes, not pipeline execution times.</t>
  </si>
  <si>
    <t>Year filtering and validation reviewed in Azure Function code.</t>
  </si>
  <si>
    <t xml:space="preserve">Candidate URL must use HTTP/HTTPS, have a nonempty host-like segment, and contain no whitespace. </t>
  </si>
  <si>
    <t>Database audit found zero missing titles</t>
  </si>
  <si>
    <t>Audit found zero missing URLs. Database checks HTTP/HTTPS prefix.</t>
  </si>
  <si>
    <t xml:space="preserve"> if your pipeline  joins in outside data. The no-match rule is the part people forget.</t>
  </si>
  <si>
    <t>Required. Database constraints enforce non-null values and an HTTP/HTTPS prefix. The audit found 0 missing URLs. KSU records may use an annual dataset URL.</t>
  </si>
  <si>
    <t>2026-09-22T06:59:43.013798+00:00</t>
  </si>
  <si>
    <t>Saved manual database audit: 320 repeated DOI groups globally. Separate committed-website check on 25 September: 320 global groups, 0 same-university DOI groups and 4,984 distinct DOIs. The latter result describes only the saved website.</t>
  </si>
  <si>
    <t>Implemented in reviewed PL_Final_Union code.</t>
  </si>
  <si>
    <t>Implemented in ValidateCandidate. Saved manual database audit did not test this rule. A 25 September check of committed Website/static/data.js found 0 repeated (university, normalized DOI) groups</t>
  </si>
  <si>
    <t>Implemented in ValidateCandidate.</t>
  </si>
  <si>
    <t>Read-only repository and local website review, 25 September 2026.</t>
  </si>
  <si>
    <t xml:space="preserve">Project team and website users. Website/server.py exposes 10 selected fields from research.final_dataset via /api/papers/all; /api/stats reads research.source_stats and /api/meta reads load/check metadata. Browser fallback uses saved data.js. </t>
  </si>
  <si>
    <t>Committed website snapshot contains 5,341 records, saved per-university statistics and a cached quality summary. Website/diraya.html embeds the same saved data. This is a full presentation snapshot, not a small pipeline unit-test fixture. Refresh scripts require a working database connection.</t>
  </si>
  <si>
    <t>Scoped requests and pagination are implemented. Rate limits can recur; ADF OpenAlex activity retries are currently zero. Retry/backoff and credential configuration improvements are planned, not verified as implemented. Original raised date is stored as 2026-04-09.</t>
  </si>
  <si>
    <t>Historical PNU enrichment trial switched to Crossref. Final Azure still ingests OpenAlex for KAU, KKU and PSAU; ongoing API risk is tracked in R-2.</t>
  </si>
  <si>
    <t>No in supplied file</t>
  </si>
  <si>
    <t>Full-file profile of supplied crossref_lines.json: 218 records before cleaning/filtering. The reviewed Azure DS_Crossref_Json configuration reads this filename. All DOI values are populated and distinct. The separate crossref_raw.json contains 205 overlapping records and was not combined with this file.</t>
  </si>
  <si>
    <t>200 distinct complete title arrays across 218 records. Array order and text casing are retained. Identical titles alone do not establish duplicate publications.</t>
  </si>
  <si>
    <t>205 distinct complete author arrays, not individual authors. No empty author arrays; completeness of every nested author-name field was not measured.</t>
  </si>
  <si>
    <t>27 distinct nonempty publisher strings after trimming outer whitespace; casing retained.</t>
  </si>
  <si>
    <t>218 populated, distinct URL strings. URL accessibility was not tested.</t>
  </si>
  <si>
    <t>34 records lack an abstract (15.60%). There are 173 distinct nonempty raw abstract strings; XML/JATS markup was retained for profiling.</t>
  </si>
  <si>
    <t>5 records have no nonempty affiliation entries across their authors (2.29%). There are 179 distinct complete per-record affiliation lists, not individual institutions. A populated list does not mean every author has an affiliation.</t>
  </si>
  <si>
    <t>173 distinct published objects. All 218 contain a publication date: 209 full dates, 2 year-month dates and 7 year-only dates. Years: 2024 = 52; 2025 = 78; 2026 = 88. Date components were not invented.</t>
  </si>
  <si>
    <t>Diraya — Saudi Technology Research Hub</t>
  </si>
  <si>
    <t>Technology research from Saudi universities is scattered across repositories, journals and APIs, making literature reviews and the discovery of related work time-consuming. Diraya collects, standardizes and validates research metadata, then presents technology-related studies through a searchable reference website.</t>
  </si>
  <si>
    <t>Primary users: undergraduate and postgraduate students conducting literature reviews. Secondary users: researchers and industry professionals seeking relevant Saudi university research and potential collaborators.</t>
  </si>
  <si>
    <t>Research metadata from KAUST, KFUPM, KSU, KAU, KKU and PSAU within 2023–2026; KSU annual files cover 2023–2025. Includes ingestion, cleaning, validation, documented enrichment, technology keyword filtering, PostgreSQL publication and a searchable website.</t>
  </si>
  <si>
    <t>Hosting or harvesting full-text research papers; exhaustive coverage of all Saudi universities; university rankings. Links to original publications are provided, with access subject to the source.</t>
  </si>
  <si>
    <t>Completion criteria: the pipeline processes the agreed sources, applies validation and technology filtering, publishes the final dataset to PostgreSQL, and makes it accessible through the website. Retain dated run results, database checks and website verification as evidence.</t>
  </si>
  <si>
    <t>Coverage: the published dataset represents all six agreed universities and contains only publication years within 2023–2026.</t>
  </si>
  <si>
    <t>Data quality: zero missing values in the eight mandatory fields; zero duplicate research_id values; DOI, URL and publication-year validation checks pass. Missing optional metadata remains explicitly null.</t>
  </si>
  <si>
    <t>Usability and consistency: users can search for a technology topic, inspect publication details and follow its source link. Website totals agree with the corresponding database snapshot, with the snapshot or update date clearly identified.</t>
  </si>
  <si>
    <t>https://github.com/ranaalmohethef/saudi-tech-azure</t>
  </si>
  <si>
    <t>Azure Data Factory and Mapping Data Flows; Azure Data Lake Storage Gen2; Azure Functions with Python 3.11; Azure Database for PostgreSQL; Flask and HTML/CSS/JavaScript; Git/GitHub. Supporting services include Azure Key Vault, Logic Apps and Azure Monitor.</t>
  </si>
  <si>
    <t>Azure hosts ingestion, storage, processing and PostgreSQL. VS Code/Jupyter support local development, and DBeaver supports database inspection. The website supports a Flask/database connection and a generated saved-data version; identify the mode used for the submitted demonstration.</t>
  </si>
  <si>
    <t>Database credentials are configured through Azure Function App settings and ADF linked services; the notification endpoint is retrieved from Azure Key Vault. Keep secret values out of the workbook and repository.</t>
  </si>
  <si>
    <t>Yes. Public author names and scholarly identifiers are personal data used for attribution. Raw records may include additional personal fields; retain only fields needed for the project and exclude unnecessary contact details from the published dataset.</t>
  </si>
  <si>
    <t>Full-file profile of 41,183 records across the supplied KSU 2023–2025 files, before cleaning/filtering. Authors are populated in every record. Distinct values count complete author strings, not individual people. A malformed escape in the 2025 file was repaired only in a profiling working copy.</t>
  </si>
  <si>
    <t>41,135 distinct nonempty titles across 41,183 records. Repeated title text alone does not establish duplicate publications.</t>
  </si>
  <si>
    <t>4,736 distinct nonempty source-title strings; journal names were not standardized for this profile.</t>
  </si>
  <si>
    <t>9 distinct complete document-type strings. Combined values such as Article; Early Access count as one field value.</t>
  </si>
  <si>
    <t>3,346 missing author-keyword fields (8.12%); 37,759 distinct nonempty complete keyword strings, not individual keywords.</t>
  </si>
  <si>
    <t>16,149 missing abstracts (39.21%); 25,019 distinct nonempty abstracts. The supplied 2024 records have no abstract field.</t>
  </si>
  <si>
    <t>30,596 distinct nonempty complete affiliation strings. Repeated institutions within a record remain part of the original value.</t>
  </si>
  <si>
    <t>25,565 missing DOI fields (62.08%); 15,610 distinct nonempty DOI values. The supplied 2024 records have no DOI field.</t>
  </si>
  <si>
    <t>No in supplied files</t>
  </si>
  <si>
    <t>10.1364/oe.503864</t>
  </si>
  <si>
    <t>Functionalization of micro-size garnet at the end of optical fiber for magneto-optical applications</t>
  </si>
  <si>
    <t>Author-array excerpt: Issatay Nadinov</t>
  </si>
  <si>
    <t>Optica Publishing Group</t>
  </si>
  <si>
    <t>https://doi.org/10.1364/oe.503864</t>
  </si>
  <si>
    <t>Abstract excerpt: We utilized a metal propionate solution to prepare polycrystalline bismuth-substituted yttrium iron garnets through the metal-organic decomposition process.</t>
  </si>
  <si>
    <t>Affiliation excerpt: CNRS/IPCMS - Institut de Physique et Chimie des Matériaux de Strasbourg</t>
  </si>
  <si>
    <t>{"date-parts":[[2024,2,20]]}</t>
  </si>
  <si>
    <t>author[].affiliation[]</t>
  </si>
  <si>
    <t>Shaping the Metaverse into Reality: A Holistic Multidisciplinary Understanding of Opportunities, Challenges, and Avenues for Future Investigation</t>
  </si>
  <si>
    <t>https://doi.org/10.1080/08874417.2023.2165197</t>
  </si>
  <si>
    <t>Authorship-array excerpt: Alex A. Koohang; raw affiliation: School of Computing, Middle Georgia State University, Macon, GA, USA</t>
  </si>
  <si>
    <t>Source-name excerpt: Journal of Computer Information Systems</t>
  </si>
  <si>
    <t>Map excerpt: {"The":[0,68],"term":[1],"metaverse":[2,60]}</t>
  </si>
  <si>
    <t>Topic-array excerpt: Virtual Reality Applications and Impacts; Consumer Retail Behavior Studies</t>
  </si>
  <si>
    <t>Keyword-array excerpt: Metaverse; Notice; Augmented reality</t>
  </si>
  <si>
    <t>is_oa=false; oa_status=closed; oa_url=null; any_repository_has_fulltext=false</t>
  </si>
  <si>
    <t>volume=63; issue=3; first_page=735; last_page=765</t>
  </si>
  <si>
    <t>2026-09-22T06:50:58.402377</t>
  </si>
  <si>
    <t>Repository publication/document type</t>
  </si>
  <si>
    <t>Full-file profile of 31,086 KAUST records: 16 missing Type values; 30 distinct nonempty values. Raw publication types are not standardized.</t>
  </si>
  <si>
    <t>Rana Ayman Almohethef; Rana Saad AlHasaniah; Aryam Saad Alotaibi.</t>
  </si>
  <si>
    <t>Rana Ayman Almohethef: Data extraction, API integration, joining and transformation, final output preparation, and documentation coordination. Aryam Saad Alotaibi: Data profiling, cleaning and standardization and source-file preparation. Rana Saad AlHasaniah: Review of quality checks and row counts, Schema validation, rejection reporting, KSU/OpenAlex source verification, and final documentation and submission review.</t>
  </si>
  <si>
    <t>Replaced it by SRC-7</t>
  </si>
  <si>
    <t>Diraya website</t>
  </si>
  <si>
    <t>The pipeline source repository (saudi-tech-research) contains 129 pytest unit tests: 52 schema validation, 31 cleaning, 22 filtering and source combination, 16 OpenAlex processing, 8 storage. The modules under azure_function/src/ in this repository are deployed copies of that tested code. Website/test_connection.py remains a database connectivity check.</t>
  </si>
  <si>
    <t>GitHub Actions workflow .github/workflows/tests.yml in the saudi-tech-research repository runs the 129 unit tests on every push. First green run: 27 September 2026. No deployment automation is configured; Azure Function and website deployment remain manual.</t>
  </si>
  <si>
    <t>Proposal: 6 September 2026; milestone: 13 September 2026; final submission: 29 September 2026. These dates come from the existing project workbook.</t>
  </si>
  <si>
    <t>N/A — keyless requests; the polite-pool mailto value is stored in config.yaml and is not a secret</t>
  </si>
  <si>
    <t>None. Requests are keyless and identify the project through the polite-pool mailto parameter, the same method used in SRC-8, SRC-9 and SRC-10.</t>
  </si>
  <si>
    <t>Saved JavaScript / standalone HTML snapshot+C5</t>
  </si>
  <si>
    <t>GitHub saudi-tech-azure, Website/ directory. Snapshot reviewed at commit 23d67a0; refreshed at submission commit 1ba9257.</t>
  </si>
  <si>
    <t>Evidence: GitHub main 1ba92574cf59b37ac3603586a7ab9855841f68b6, submitted 29 September 2026; https://github.com/ranaalmohethef/saudi-tech-azure/tree/1ba92574cf59b37ac3603586a7ab9855841f68b6. Sheets 03–09 and 11 were reviewed against commit 23d67a0de774c01a35c3cd794acfa38c74d9d031 on 25 September 2026; the repository has advanced since, and figures stay attached to the dated evidence they came from. Keep the 21 September six-activity run, 24 September manual database audit, 22 September saved website snapshot and 26 September full run separate. Website was checked locally without starting Azure.</t>
  </si>
  <si>
    <t>Later full run on 26 September 2026 published 5,344 rows from 22,960 validated records, with 8/8 post-publication checks 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</si>
</sst>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1">
    <font>
      <sz val="11"/>
      <color theme="1"/>
      <name val="Calibri"/>
    </font>
    <font>
      <b/>
      <sz val="15"/>
      <color rgb="FF1F3864"/>
      <name val="Arial"/>
    </font>
    <font>
      <i/>
      <sz val="10"/>
      <name val="Arial"/>
    </font>
    <font>
      <sz val="10"/>
      <name val="Arial"/>
    </font>
    <font>
      <i/>
      <sz val="9"/>
      <color rgb="FF7F7F7F"/>
      <name val="Arial"/>
    </font>
    <font>
      <b/>
      <sz val="10"/>
      <name val="Arial"/>
    </font>
    <font>
      <b/>
      <sz val="10"/>
      <color rgb="FFFFFFFF"/>
      <name val="Arial"/>
    </font>
    <font>
      <b/>
      <sz val="10"/>
      <color rgb="FF1F3864"/>
      <name val="Arial"/>
    </font>
    <font>
      <i/>
      <sz val="10"/>
      <color rgb="FF808080"/>
      <name val="Arial"/>
    </font>
    <font>
      <sz val="11"/>
      <color theme="10"/>
      <name val="Calibri"/>
    </font>
    <font>
      <sz val="12"/>
      <name val="Calibri"/>
    </font>
    <font>
      <sz val="12"/>
      <color theme="10"/>
      <name val="Calibri"/>
    </font>
    <font>
      <sz val="12"/>
      <color rgb="FF000000"/>
      <name val="Calibri"/>
    </font>
    <font>
      <b/>
      <sz val="12"/>
      <color theme="1"/>
      <name val="Cambria"/>
    </font>
    <font>
      <sz val="11"/>
      <color rgb="FF000000"/>
      <name val="Calibri"/>
    </font>
    <font>
      <b/>
      <sz val="12"/>
      <color rgb="FFFFFFFF"/>
      <name val="Arial"/>
    </font>
    <font>
      <b/>
      <sz val="12"/>
      <color theme="1"/>
      <name val="Calibri"/>
    </font>
    <font>
      <sz val="12"/>
      <color theme="1"/>
      <name val="Calibri"/>
    </font>
    <font>
      <b/>
      <sz val="11"/>
      <color theme="1"/>
      <name val="Calibri"/>
    </font>
    <font>
      <sz val="10"/>
      <color rgb="FFFFFFFF"/>
      <name val="Arial"/>
    </font>
    <font>
      <sz val="10"/>
      <name val="Arial"/>
      <family val="2"/>
    </font>
    <font>
      <i/>
      <sz val="9"/>
      <color rgb="FF7F7F7F"/>
      <name val="Arial"/>
      <family val="2"/>
    </font>
    <font>
      <sz val="11"/>
      <color theme="1"/>
      <name val="Calibri"/>
      <family val="2"/>
    </font>
    <font>
      <b/>
      <sz val="11"/>
      <color rgb="FFFFFFFF"/>
      <name val="Arial"/>
      <family val="2"/>
    </font>
    <font>
      <b/>
      <sz val="11"/>
      <color rgb="FF1F3864"/>
      <name val="Arial"/>
      <family val="2"/>
    </font>
    <font>
      <b/>
      <sz val="11"/>
      <name val="Arial"/>
      <family val="2"/>
    </font>
    <font>
      <sz val="11"/>
      <name val="Arial"/>
      <family val="2"/>
    </font>
    <font>
      <sz val="11"/>
      <color theme="1"/>
      <name val="Calibri"/>
    </font>
    <font>
      <sz val="10"/>
      <color theme="1"/>
      <name val="Arial Unicode MS"/>
    </font>
    <font>
      <b/>
      <sz val="10"/>
      <name val="Arial"/>
      <family val="2"/>
    </font>
    <font>
      <sz val="12"/>
      <name val="Calibri"/>
      <family val="2"/>
    </font>
  </fonts>
  <fills count="5">
    <fill>
      <patternFill patternType="none"/>
    </fill>
    <fill>
      <patternFill patternType="gray125"/>
    </fill>
    <fill>
      <patternFill patternType="solid">
        <fgColor rgb="FFDEEAF6"/>
      </patternFill>
    </fill>
    <fill>
      <patternFill patternType="solid">
        <fgColor rgb="FF2E5C8A"/>
      </patternFill>
    </fill>
    <fill>
      <patternFill patternType="solid">
        <fgColor rgb="FFFFF2CC"/>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s>
  <cellStyleXfs count="3">
    <xf numFmtId="0" fontId="0" fillId="0" borderId="0"/>
    <xf numFmtId="0" fontId="9" fillId="0" borderId="0" applyNumberFormat="0" applyFill="0" applyBorder="0" applyAlignment="0" applyProtection="0"/>
    <xf numFmtId="9" fontId="27" fillId="0" borderId="0" applyFont="0" applyFill="0" applyBorder="0" applyAlignment="0" applyProtection="0"/>
  </cellStyleXfs>
  <cellXfs count="53">
    <xf numFmtId="0" fontId="0" fillId="0" borderId="0" xfId="0"/>
    <xf numFmtId="0" fontId="3" fillId="0" borderId="1" xfId="0" applyFont="1" applyBorder="1" applyAlignment="1">
      <alignment vertical="top" wrapText="1"/>
    </xf>
    <xf numFmtId="0" fontId="4" fillId="0" borderId="1" xfId="0" applyFont="1" applyBorder="1" applyAlignment="1">
      <alignment vertical="top" wrapText="1"/>
    </xf>
    <xf numFmtId="0" fontId="5" fillId="2" borderId="1" xfId="0" applyFont="1" applyFill="1" applyBorder="1" applyAlignment="1">
      <alignment vertical="top" wrapText="1"/>
    </xf>
    <xf numFmtId="0" fontId="3" fillId="2" borderId="1" xfId="0" applyFont="1" applyFill="1" applyBorder="1" applyAlignment="1">
      <alignment vertical="top" wrapText="1"/>
    </xf>
    <xf numFmtId="0" fontId="4" fillId="2" borderId="1" xfId="0" applyFont="1" applyFill="1" applyBorder="1" applyAlignment="1">
      <alignment vertical="top" wrapText="1"/>
    </xf>
    <xf numFmtId="0" fontId="5" fillId="0" borderId="1" xfId="0" applyFont="1" applyBorder="1" applyAlignment="1">
      <alignment vertical="top" wrapText="1"/>
    </xf>
    <xf numFmtId="0" fontId="6" fillId="3" borderId="1" xfId="0" applyFont="1" applyFill="1" applyBorder="1"/>
    <xf numFmtId="0" fontId="6" fillId="3" borderId="1" xfId="0" applyFont="1" applyFill="1" applyBorder="1" applyAlignment="1">
      <alignment horizontal="center" vertical="center" wrapText="1"/>
    </xf>
    <xf numFmtId="0" fontId="14" fillId="0" borderId="0" xfId="0" applyFont="1"/>
    <xf numFmtId="0" fontId="15" fillId="3" borderId="1" xfId="0" applyFont="1" applyFill="1" applyBorder="1" applyAlignment="1">
      <alignment horizontal="center" vertical="center" wrapText="1"/>
    </xf>
    <xf numFmtId="0" fontId="16" fillId="0" borderId="0" xfId="0" applyFont="1" applyAlignment="1">
      <alignment horizontal="center" vertical="center"/>
    </xf>
    <xf numFmtId="0" fontId="16" fillId="0" borderId="0" xfId="0" applyFont="1" applyAlignment="1">
      <alignment horizontal="center" vertical="center" wrapText="1"/>
    </xf>
    <xf numFmtId="0" fontId="17" fillId="0" borderId="0" xfId="0" applyFont="1" applyAlignment="1">
      <alignment horizontal="center" vertical="center"/>
    </xf>
    <xf numFmtId="0" fontId="5" fillId="0" borderId="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9" fillId="3" borderId="1" xfId="0" applyFont="1" applyFill="1" applyBorder="1" applyAlignment="1">
      <alignment horizontal="center" vertical="center" wrapText="1"/>
    </xf>
    <xf numFmtId="0" fontId="14" fillId="0" borderId="0" xfId="0" applyFont="1" applyAlignment="1">
      <alignment horizontal="center" vertical="center" wrapText="1"/>
    </xf>
    <xf numFmtId="0" fontId="13"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1" applyFont="1" applyFill="1" applyBorder="1" applyAlignment="1">
      <alignment horizontal="center" vertical="center" wrapText="1"/>
    </xf>
    <xf numFmtId="0" fontId="12" fillId="0" borderId="1" xfId="0" applyFont="1" applyBorder="1" applyAlignment="1">
      <alignment horizontal="center" vertical="center" wrapText="1"/>
    </xf>
    <xf numFmtId="0" fontId="18" fillId="0" borderId="0" xfId="0" applyFont="1" applyAlignment="1">
      <alignment horizontal="center" vertical="center" wrapText="1"/>
    </xf>
    <xf numFmtId="0" fontId="8" fillId="4" borderId="1" xfId="0" applyFont="1" applyFill="1" applyBorder="1" applyAlignment="1">
      <alignment vertical="top" wrapText="1"/>
    </xf>
    <xf numFmtId="0" fontId="20" fillId="0" borderId="1" xfId="0" applyFont="1" applyBorder="1" applyAlignment="1">
      <alignment vertical="top" wrapText="1"/>
    </xf>
    <xf numFmtId="0" fontId="21" fillId="0" borderId="1" xfId="0" applyFont="1" applyBorder="1" applyAlignment="1">
      <alignment vertical="top" wrapText="1"/>
    </xf>
    <xf numFmtId="0" fontId="9" fillId="0" borderId="0" xfId="1"/>
    <xf numFmtId="10" fontId="14" fillId="0" borderId="0" xfId="0" applyNumberFormat="1" applyFont="1" applyAlignment="1">
      <alignment horizontal="center" vertical="center" wrapText="1"/>
    </xf>
    <xf numFmtId="0" fontId="23" fillId="3" borderId="1" xfId="0" applyFont="1" applyFill="1" applyBorder="1"/>
    <xf numFmtId="0" fontId="22" fillId="0" borderId="0" xfId="0" applyFont="1"/>
    <xf numFmtId="0" fontId="25" fillId="0" borderId="1" xfId="0" applyFont="1" applyBorder="1" applyAlignment="1">
      <alignment vertical="top" wrapText="1"/>
    </xf>
    <xf numFmtId="0" fontId="26" fillId="0" borderId="1" xfId="0" applyFont="1" applyBorder="1" applyAlignment="1">
      <alignment vertical="top" wrapText="1"/>
    </xf>
    <xf numFmtId="0" fontId="20" fillId="0" borderId="2" xfId="0" applyFont="1" applyBorder="1" applyAlignment="1">
      <alignment horizontal="center" vertical="center" wrapText="1"/>
    </xf>
    <xf numFmtId="15" fontId="3" fillId="0" borderId="3" xfId="0" applyNumberFormat="1" applyFont="1" applyBorder="1" applyAlignment="1">
      <alignment horizontal="center" vertical="center" wrapText="1"/>
    </xf>
    <xf numFmtId="9" fontId="14" fillId="0" borderId="0" xfId="2" applyFont="1" applyAlignment="1">
      <alignment horizontal="center" vertical="center" wrapText="1"/>
    </xf>
    <xf numFmtId="164" fontId="14" fillId="0" borderId="0" xfId="0" applyNumberFormat="1" applyFont="1" applyAlignment="1">
      <alignment horizontal="center" vertical="center" wrapText="1"/>
    </xf>
    <xf numFmtId="14" fontId="14" fillId="0" borderId="0" xfId="0" applyNumberFormat="1" applyFont="1" applyAlignment="1">
      <alignment horizontal="center" vertical="center" wrapText="1"/>
    </xf>
    <xf numFmtId="0" fontId="28" fillId="0" borderId="0" xfId="0" applyFont="1" applyAlignment="1">
      <alignment vertical="center" wrapText="1"/>
    </xf>
    <xf numFmtId="0" fontId="29" fillId="0" borderId="1" xfId="0" applyFont="1" applyBorder="1" applyAlignment="1">
      <alignment vertical="top" wrapText="1"/>
    </xf>
    <xf numFmtId="0" fontId="30" fillId="0" borderId="1" xfId="0" applyFont="1" applyBorder="1" applyAlignment="1">
      <alignment horizontal="center" vertical="center" wrapText="1"/>
    </xf>
    <xf numFmtId="0" fontId="1" fillId="0" borderId="0" xfId="0" applyFont="1"/>
    <xf numFmtId="0" fontId="2" fillId="0" borderId="0" xfId="0" applyFont="1"/>
    <xf numFmtId="0" fontId="0" fillId="0" borderId="0" xfId="0"/>
    <xf numFmtId="0" fontId="7" fillId="2" borderId="1" xfId="0" applyFont="1" applyFill="1" applyBorder="1" applyAlignment="1">
      <alignment vertical="top" wrapText="1"/>
    </xf>
    <xf numFmtId="0" fontId="0" fillId="0" borderId="1" xfId="0" applyBorder="1" applyAlignment="1">
      <alignment vertical="top" wrapText="1"/>
    </xf>
    <xf numFmtId="0" fontId="4" fillId="0" borderId="0" xfId="0" applyFont="1" applyAlignment="1">
      <alignment vertical="center" wrapText="1"/>
    </xf>
    <xf numFmtId="0" fontId="21" fillId="0" borderId="0" xfId="0" applyFont="1" applyAlignment="1">
      <alignment vertical="center" wrapText="1"/>
    </xf>
    <xf numFmtId="0" fontId="24" fillId="2" borderId="1" xfId="0" applyFont="1" applyFill="1" applyBorder="1" applyAlignment="1">
      <alignment vertical="top" wrapText="1"/>
    </xf>
    <xf numFmtId="0" fontId="22" fillId="0" borderId="1" xfId="0" applyFont="1" applyBorder="1" applyAlignment="1">
      <alignment vertical="top" wrapText="1"/>
    </xf>
    <xf numFmtId="0" fontId="7" fillId="2" borderId="4" xfId="0" applyFont="1" applyFill="1" applyBorder="1" applyAlignment="1">
      <alignment vertical="top" wrapText="1"/>
    </xf>
    <xf numFmtId="0" fontId="7" fillId="2" borderId="5" xfId="0" applyFont="1" applyFill="1" applyBorder="1" applyAlignment="1">
      <alignment vertical="top" wrapText="1"/>
    </xf>
    <xf numFmtId="0" fontId="7" fillId="2" borderId="2" xfId="0" applyFont="1" applyFill="1" applyBorder="1" applyAlignment="1">
      <alignment vertical="top" wrapText="1"/>
    </xf>
  </cellXfs>
  <cellStyles count="3">
    <cellStyle name="Hyperlink" xfId="1" xr:uid="{00000000-0005-0000-0000-000000000000}"/>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data.ksu.edu.sa/ar/node/1149" TargetMode="External"/><Relationship Id="rId2" Type="http://schemas.openxmlformats.org/officeDocument/2006/relationships/hyperlink" Target="https://pnu.edu.sa/en/Departments/DM/Pages/OpenData.aspx?utm" TargetMode="External"/><Relationship Id="rId1" Type="http://schemas.openxmlformats.org/officeDocument/2006/relationships/hyperlink" Target="https://www.crossref.org/documentation/retrieve-metadata/rest-api" TargetMode="External"/><Relationship Id="rId4" Type="http://schemas.openxmlformats.org/officeDocument/2006/relationships/hyperlink" Target="https://repository.kaust.edu.sa/collections/4a3bb319-5b83-45a6-ab35-258eae524631"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reativecommons.org/licenses/by/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24"/>
  <sheetViews>
    <sheetView workbookViewId="0">
      <selection activeCell="B21" sqref="B21"/>
    </sheetView>
  </sheetViews>
  <sheetFormatPr defaultRowHeight="14.25"/>
  <cols>
    <col min="1" max="1" width="22" customWidth="1"/>
    <col min="2" max="2" width="74" customWidth="1"/>
    <col min="3" max="3" width="34" customWidth="1"/>
  </cols>
  <sheetData>
    <row r="1" spans="1:3" ht="18.75">
      <c r="A1" s="41" t="s">
        <v>0</v>
      </c>
      <c r="B1" s="41"/>
      <c r="C1" s="41"/>
    </row>
    <row r="2" spans="1:3">
      <c r="A2" s="42" t="s">
        <v>1</v>
      </c>
      <c r="B2" s="43"/>
      <c r="C2" s="43"/>
    </row>
    <row r="3" spans="1:3" ht="9" customHeight="1">
      <c r="A3" s="1"/>
      <c r="B3" s="1"/>
      <c r="C3" s="2"/>
    </row>
    <row r="4" spans="1:3" ht="9" customHeight="1">
      <c r="A4" s="3" t="s">
        <v>2</v>
      </c>
      <c r="B4" s="4"/>
      <c r="C4" s="5"/>
    </row>
    <row r="5" spans="1:3" ht="15" customHeight="1">
      <c r="A5" s="6" t="s">
        <v>3</v>
      </c>
      <c r="B5" s="1" t="s">
        <v>832</v>
      </c>
      <c r="C5" s="2"/>
    </row>
    <row r="6" spans="1:3" ht="22.45" customHeight="1">
      <c r="A6" s="1" t="s">
        <v>4</v>
      </c>
      <c r="B6" s="1" t="s">
        <v>970</v>
      </c>
      <c r="C6" s="2"/>
    </row>
    <row r="7" spans="1:3">
      <c r="A7" s="1" t="s">
        <v>5</v>
      </c>
      <c r="B7" s="1" t="s">
        <v>6</v>
      </c>
      <c r="C7" s="2"/>
    </row>
    <row r="8" spans="1:3" ht="25.5">
      <c r="A8" s="1" t="s">
        <v>7</v>
      </c>
      <c r="B8" s="1" t="s">
        <v>8</v>
      </c>
      <c r="C8" s="2"/>
    </row>
    <row r="9" spans="1:3" ht="37.450000000000003" customHeight="1">
      <c r="A9" s="1" t="s">
        <v>9</v>
      </c>
      <c r="B9" s="25" t="s">
        <v>1104</v>
      </c>
      <c r="C9" s="2"/>
    </row>
    <row r="10" spans="1:3" ht="9" customHeight="1">
      <c r="A10" s="1"/>
      <c r="B10" s="1"/>
      <c r="C10" s="2"/>
    </row>
    <row r="11" spans="1:3">
      <c r="A11" s="3" t="s">
        <v>10</v>
      </c>
      <c r="B11" s="3" t="s">
        <v>11</v>
      </c>
      <c r="C11" s="5" t="s">
        <v>12</v>
      </c>
    </row>
    <row r="12" spans="1:3">
      <c r="A12" s="6" t="s">
        <v>13</v>
      </c>
      <c r="B12" s="1" t="s">
        <v>14</v>
      </c>
      <c r="C12" s="2" t="s">
        <v>15</v>
      </c>
    </row>
    <row r="13" spans="1:3">
      <c r="A13" s="6" t="s">
        <v>16</v>
      </c>
      <c r="B13" s="1" t="s">
        <v>17</v>
      </c>
      <c r="C13" s="2" t="s">
        <v>18</v>
      </c>
    </row>
    <row r="14" spans="1:3">
      <c r="A14" s="6" t="s">
        <v>19</v>
      </c>
      <c r="B14" s="1" t="s">
        <v>20</v>
      </c>
      <c r="C14" s="2" t="s">
        <v>21</v>
      </c>
    </row>
    <row r="15" spans="1:3">
      <c r="A15" s="6" t="s">
        <v>22</v>
      </c>
      <c r="B15" s="1" t="s">
        <v>23</v>
      </c>
      <c r="C15" s="2" t="s">
        <v>24</v>
      </c>
    </row>
    <row r="16" spans="1:3">
      <c r="A16" s="6" t="s">
        <v>25</v>
      </c>
      <c r="B16" s="1" t="s">
        <v>26</v>
      </c>
      <c r="C16" s="2" t="s">
        <v>27</v>
      </c>
    </row>
    <row r="17" spans="1:3">
      <c r="A17" s="6" t="s">
        <v>28</v>
      </c>
      <c r="B17" s="1" t="s">
        <v>29</v>
      </c>
      <c r="C17" s="2" t="s">
        <v>30</v>
      </c>
    </row>
    <row r="18" spans="1:3">
      <c r="A18" s="6" t="s">
        <v>31</v>
      </c>
      <c r="B18" s="1" t="s">
        <v>32</v>
      </c>
      <c r="C18" s="2" t="s">
        <v>33</v>
      </c>
    </row>
    <row r="19" spans="1:3">
      <c r="A19" s="6" t="s">
        <v>34</v>
      </c>
      <c r="B19" s="1" t="s">
        <v>35</v>
      </c>
      <c r="C19" s="2" t="s">
        <v>36</v>
      </c>
    </row>
    <row r="20" spans="1:3">
      <c r="A20" s="6" t="s">
        <v>37</v>
      </c>
      <c r="B20" s="1" t="s">
        <v>38</v>
      </c>
      <c r="C20" s="2" t="s">
        <v>39</v>
      </c>
    </row>
    <row r="21" spans="1:3">
      <c r="A21" s="6" t="s">
        <v>40</v>
      </c>
      <c r="B21" s="1" t="s">
        <v>41</v>
      </c>
      <c r="C21" s="2" t="s">
        <v>42</v>
      </c>
    </row>
    <row r="22" spans="1:3">
      <c r="A22" s="6" t="s">
        <v>43</v>
      </c>
      <c r="B22" s="1" t="s">
        <v>44</v>
      </c>
      <c r="C22" s="2" t="s">
        <v>45</v>
      </c>
    </row>
    <row r="23" spans="1:3" ht="9" customHeight="1">
      <c r="A23" s="1"/>
      <c r="B23" s="1"/>
      <c r="C23" s="2"/>
    </row>
    <row r="24" spans="1:3" ht="15" customHeight="1">
      <c r="A24" s="3" t="s">
        <v>46</v>
      </c>
      <c r="B24" s="4" t="s">
        <v>47</v>
      </c>
      <c r="C24" s="5"/>
    </row>
  </sheetData>
  <mergeCells count="2">
    <mergeCell ref="A1:C1"/>
    <mergeCell ref="A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C8A"/>
  </sheetPr>
  <dimension ref="A1:C22"/>
  <sheetViews>
    <sheetView workbookViewId="0">
      <pane ySplit="2" topLeftCell="A17" activePane="bottomLeft" state="frozen"/>
      <selection pane="bottomLeft" activeCell="B25" sqref="B25"/>
    </sheetView>
  </sheetViews>
  <sheetFormatPr defaultRowHeight="14.25"/>
  <cols>
    <col min="1" max="1" width="32" customWidth="1"/>
    <col min="2" max="2" width="54.59765625" customWidth="1"/>
    <col min="3" max="3" width="54" customWidth="1"/>
  </cols>
  <sheetData>
    <row r="1" spans="1:3" ht="18.75">
      <c r="A1" s="41" t="s">
        <v>833</v>
      </c>
      <c r="B1" s="41"/>
      <c r="C1" s="41"/>
    </row>
    <row r="2" spans="1:3" ht="14.45" customHeight="1">
      <c r="A2" s="7" t="s">
        <v>48</v>
      </c>
      <c r="B2" s="7" t="s">
        <v>49</v>
      </c>
      <c r="C2" s="7"/>
    </row>
    <row r="3" spans="1:3" ht="14.45" customHeight="1">
      <c r="A3" s="44" t="s">
        <v>50</v>
      </c>
      <c r="B3" s="45"/>
      <c r="C3" s="45"/>
    </row>
    <row r="4" spans="1:3" ht="14.45" customHeight="1">
      <c r="A4" s="6" t="s">
        <v>51</v>
      </c>
      <c r="B4" s="39" t="s">
        <v>1049</v>
      </c>
    </row>
    <row r="5" spans="1:3" ht="97.8" customHeight="1">
      <c r="A5" s="6" t="s">
        <v>52</v>
      </c>
      <c r="B5" s="25" t="s">
        <v>1093</v>
      </c>
      <c r="C5" s="38" t="s">
        <v>1094</v>
      </c>
    </row>
    <row r="6" spans="1:3" ht="21.1" customHeight="1">
      <c r="A6" s="6" t="s">
        <v>53</v>
      </c>
      <c r="B6" s="25" t="s">
        <v>54</v>
      </c>
      <c r="C6" s="38"/>
    </row>
    <row r="7" spans="1:3" ht="76.5">
      <c r="A7" s="6" t="s">
        <v>55</v>
      </c>
      <c r="B7" s="25" t="s">
        <v>1050</v>
      </c>
      <c r="C7" s="38"/>
    </row>
    <row r="8" spans="1:3" ht="36" customHeight="1">
      <c r="A8" s="6" t="s">
        <v>56</v>
      </c>
      <c r="B8" s="25" t="s">
        <v>1051</v>
      </c>
      <c r="C8" s="26" t="s">
        <v>1096</v>
      </c>
    </row>
    <row r="9" spans="1:3" ht="48.1" customHeight="1">
      <c r="A9" s="6" t="s">
        <v>57</v>
      </c>
      <c r="B9" s="25" t="s">
        <v>1052</v>
      </c>
      <c r="C9" s="2" t="s">
        <v>969</v>
      </c>
    </row>
    <row r="10" spans="1:3" ht="36" customHeight="1">
      <c r="A10" s="6" t="s">
        <v>58</v>
      </c>
      <c r="B10" s="25" t="s">
        <v>1053</v>
      </c>
      <c r="C10" s="2"/>
    </row>
    <row r="11" spans="1:3" ht="120.1" customHeight="1">
      <c r="A11" s="6" t="s">
        <v>59</v>
      </c>
      <c r="B11" s="25" t="s">
        <v>1054</v>
      </c>
      <c r="C11" s="2"/>
    </row>
    <row r="12" spans="1:3" ht="14.45" customHeight="1">
      <c r="A12" s="44" t="s">
        <v>60</v>
      </c>
      <c r="B12" s="45"/>
      <c r="C12" s="45"/>
    </row>
    <row r="13" spans="1:3" ht="84.1" customHeight="1">
      <c r="A13" s="6" t="s">
        <v>61</v>
      </c>
      <c r="B13" s="25" t="s">
        <v>1055</v>
      </c>
      <c r="C13" s="2"/>
    </row>
    <row r="14" spans="1:3" ht="60" customHeight="1">
      <c r="A14" s="6" t="s">
        <v>62</v>
      </c>
      <c r="B14" s="25" t="s">
        <v>1056</v>
      </c>
      <c r="C14" s="2"/>
    </row>
    <row r="15" spans="1:3" ht="48.1" customHeight="1">
      <c r="A15" s="6" t="s">
        <v>63</v>
      </c>
      <c r="B15" s="25" t="s">
        <v>1057</v>
      </c>
      <c r="C15" s="2"/>
    </row>
    <row r="16" spans="1:3" ht="14.45" customHeight="1">
      <c r="A16" s="44" t="s">
        <v>64</v>
      </c>
      <c r="B16" s="45"/>
      <c r="C16" s="45"/>
    </row>
    <row r="17" spans="1:3" ht="79.150000000000006" customHeight="1">
      <c r="A17" s="6" t="s">
        <v>65</v>
      </c>
      <c r="B17" s="27" t="s">
        <v>1058</v>
      </c>
      <c r="C17" s="2"/>
    </row>
    <row r="18" spans="1:3" ht="48.1" customHeight="1">
      <c r="A18" s="6" t="s">
        <v>66</v>
      </c>
      <c r="B18" s="25" t="s">
        <v>1059</v>
      </c>
      <c r="C18" s="2"/>
    </row>
    <row r="19" spans="1:3" ht="48.1" customHeight="1">
      <c r="A19" s="6" t="s">
        <v>67</v>
      </c>
      <c r="B19" s="25" t="s">
        <v>1060</v>
      </c>
      <c r="C19" s="2"/>
    </row>
    <row r="20" spans="1:3" ht="72" customHeight="1">
      <c r="A20" s="6" t="s">
        <v>68</v>
      </c>
      <c r="B20" s="25" t="s">
        <v>1061</v>
      </c>
      <c r="C20" s="2"/>
    </row>
    <row r="21" spans="1:3" ht="24" customHeight="1">
      <c r="A21" s="6" t="s">
        <v>69</v>
      </c>
      <c r="B21" s="25" t="s">
        <v>1099</v>
      </c>
      <c r="C21" s="2"/>
    </row>
    <row r="22" spans="1:3" ht="48.1" customHeight="1">
      <c r="A22" s="6" t="s">
        <v>70</v>
      </c>
      <c r="B22" s="25" t="s">
        <v>1062</v>
      </c>
      <c r="C22" s="2"/>
    </row>
  </sheetData>
  <mergeCells count="4">
    <mergeCell ref="A1:C1"/>
    <mergeCell ref="A16:C16"/>
    <mergeCell ref="A3:C3"/>
    <mergeCell ref="A12:C1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5C8A"/>
  </sheetPr>
  <dimension ref="A1:K13"/>
  <sheetViews>
    <sheetView topLeftCell="D1" zoomScale="80" zoomScaleNormal="80" workbookViewId="0">
      <pane ySplit="3" topLeftCell="A5" activePane="bottomLeft" state="frozen"/>
      <selection pane="bottomLeft" activeCell="D8" sqref="D8"/>
    </sheetView>
  </sheetViews>
  <sheetFormatPr defaultRowHeight="14.25"/>
  <cols>
    <col min="1" max="1" width="8" customWidth="1"/>
    <col min="2" max="2" width="24" customWidth="1"/>
    <col min="3" max="3" width="18" customWidth="1"/>
    <col min="4" max="4" width="34" customWidth="1"/>
    <col min="5" max="5" width="22" customWidth="1"/>
    <col min="6" max="6" width="12.06640625" customWidth="1"/>
    <col min="7" max="7" width="9.9296875" customWidth="1"/>
    <col min="8" max="9" width="28.06640625" customWidth="1"/>
    <col min="10" max="10" width="18" customWidth="1"/>
    <col min="11" max="11" width="30" customWidth="1"/>
  </cols>
  <sheetData>
    <row r="1" spans="1:11" ht="18.75">
      <c r="A1" s="41" t="s">
        <v>71</v>
      </c>
      <c r="B1" s="41"/>
      <c r="C1" s="41"/>
    </row>
    <row r="2" spans="1:11" ht="14.45" customHeight="1">
      <c r="A2" s="46" t="s">
        <v>968</v>
      </c>
      <c r="B2" s="43"/>
      <c r="C2" s="43"/>
      <c r="D2" s="43"/>
      <c r="E2" s="43"/>
      <c r="F2" s="43"/>
      <c r="G2" s="43"/>
      <c r="H2" s="43"/>
      <c r="I2" s="43"/>
      <c r="J2" s="43"/>
      <c r="K2" s="43"/>
    </row>
    <row r="3" spans="1:11" ht="39.4">
      <c r="A3" s="8" t="s">
        <v>72</v>
      </c>
      <c r="B3" s="8" t="s">
        <v>73</v>
      </c>
      <c r="C3" s="8" t="s">
        <v>74</v>
      </c>
      <c r="D3" s="8" t="s">
        <v>75</v>
      </c>
      <c r="E3" s="8" t="s">
        <v>76</v>
      </c>
      <c r="F3" s="8" t="s">
        <v>77</v>
      </c>
      <c r="G3" s="8" t="s">
        <v>78</v>
      </c>
      <c r="H3" s="8" t="s">
        <v>79</v>
      </c>
      <c r="I3" s="8" t="s">
        <v>80</v>
      </c>
      <c r="J3" s="8" t="s">
        <v>81</v>
      </c>
      <c r="K3" s="8" t="s">
        <v>82</v>
      </c>
    </row>
    <row r="4" spans="1:11" ht="115.15" customHeight="1">
      <c r="A4" s="19" t="s">
        <v>83</v>
      </c>
      <c r="B4" s="20" t="s">
        <v>84</v>
      </c>
      <c r="C4" s="20" t="s">
        <v>85</v>
      </c>
      <c r="D4" s="21" t="s">
        <v>86</v>
      </c>
      <c r="E4" s="20" t="s">
        <v>87</v>
      </c>
      <c r="F4" s="20" t="s">
        <v>88</v>
      </c>
      <c r="G4" s="20" t="s">
        <v>89</v>
      </c>
      <c r="H4" s="22" t="s">
        <v>90</v>
      </c>
      <c r="I4" s="20" t="s">
        <v>91</v>
      </c>
      <c r="J4" s="20" t="s">
        <v>155</v>
      </c>
      <c r="K4" s="20" t="s">
        <v>834</v>
      </c>
    </row>
    <row r="5" spans="1:11" ht="115.15" customHeight="1">
      <c r="A5" s="19" t="s">
        <v>92</v>
      </c>
      <c r="B5" s="20" t="s">
        <v>835</v>
      </c>
      <c r="C5" s="20" t="s">
        <v>93</v>
      </c>
      <c r="D5" s="21" t="s">
        <v>94</v>
      </c>
      <c r="E5" s="20" t="s">
        <v>87</v>
      </c>
      <c r="F5" s="20" t="s">
        <v>88</v>
      </c>
      <c r="G5" s="20" t="s">
        <v>95</v>
      </c>
      <c r="H5" s="22"/>
      <c r="I5" s="20" t="s">
        <v>972</v>
      </c>
      <c r="J5" s="20" t="s">
        <v>155</v>
      </c>
      <c r="K5" s="20" t="s">
        <v>971</v>
      </c>
    </row>
    <row r="6" spans="1:11" ht="115.15" customHeight="1">
      <c r="A6" s="19" t="s">
        <v>96</v>
      </c>
      <c r="B6" s="20" t="s">
        <v>97</v>
      </c>
      <c r="C6" s="20" t="s">
        <v>93</v>
      </c>
      <c r="D6" s="21" t="s">
        <v>98</v>
      </c>
      <c r="E6" s="20" t="s">
        <v>87</v>
      </c>
      <c r="F6" s="40" t="s">
        <v>88</v>
      </c>
      <c r="G6" s="20" t="s">
        <v>99</v>
      </c>
      <c r="H6" s="22" t="s">
        <v>836</v>
      </c>
      <c r="I6" s="20" t="s">
        <v>973</v>
      </c>
      <c r="J6" s="20" t="s">
        <v>155</v>
      </c>
      <c r="K6" s="20" t="s">
        <v>837</v>
      </c>
    </row>
    <row r="7" spans="1:11" ht="115.15" customHeight="1">
      <c r="A7" s="19" t="s">
        <v>100</v>
      </c>
      <c r="B7" s="20" t="s">
        <v>101</v>
      </c>
      <c r="C7" s="20" t="s">
        <v>102</v>
      </c>
      <c r="D7" s="21" t="s">
        <v>103</v>
      </c>
      <c r="E7" s="40" t="s">
        <v>1101</v>
      </c>
      <c r="F7" s="40" t="s">
        <v>1100</v>
      </c>
      <c r="G7" s="20" t="s">
        <v>89</v>
      </c>
      <c r="H7" s="22" t="s">
        <v>838</v>
      </c>
      <c r="I7" s="20" t="s">
        <v>104</v>
      </c>
      <c r="J7" s="20" t="s">
        <v>105</v>
      </c>
      <c r="K7" s="20" t="s">
        <v>839</v>
      </c>
    </row>
    <row r="8" spans="1:11" ht="115.15" customHeight="1">
      <c r="A8" s="19" t="s">
        <v>106</v>
      </c>
      <c r="B8" s="20" t="s">
        <v>107</v>
      </c>
      <c r="C8" s="20" t="s">
        <v>108</v>
      </c>
      <c r="D8" s="21" t="s">
        <v>109</v>
      </c>
      <c r="E8" s="20" t="s">
        <v>87</v>
      </c>
      <c r="F8" s="20" t="s">
        <v>88</v>
      </c>
      <c r="G8" s="20" t="s">
        <v>110</v>
      </c>
      <c r="H8" s="22" t="s">
        <v>840</v>
      </c>
      <c r="I8" s="20" t="s">
        <v>111</v>
      </c>
      <c r="J8" s="20" t="s">
        <v>155</v>
      </c>
      <c r="K8" s="20" t="s">
        <v>974</v>
      </c>
    </row>
    <row r="9" spans="1:11" ht="115.15" customHeight="1">
      <c r="A9" s="19" t="s">
        <v>112</v>
      </c>
      <c r="B9" s="20" t="s">
        <v>975</v>
      </c>
      <c r="C9" s="20" t="s">
        <v>113</v>
      </c>
      <c r="D9" s="21" t="s">
        <v>114</v>
      </c>
      <c r="E9" s="20" t="s">
        <v>87</v>
      </c>
      <c r="F9" s="20" t="s">
        <v>88</v>
      </c>
      <c r="G9" s="20" t="s">
        <v>89</v>
      </c>
      <c r="H9" s="22" t="s">
        <v>115</v>
      </c>
      <c r="I9" s="20" t="s">
        <v>116</v>
      </c>
      <c r="J9" s="20" t="s">
        <v>155</v>
      </c>
      <c r="K9" s="20" t="s">
        <v>841</v>
      </c>
    </row>
    <row r="10" spans="1:11" ht="115.15" customHeight="1">
      <c r="A10" s="19" t="s">
        <v>117</v>
      </c>
      <c r="B10" s="20" t="s">
        <v>118</v>
      </c>
      <c r="C10" s="20" t="s">
        <v>119</v>
      </c>
      <c r="D10" s="21" t="s">
        <v>842</v>
      </c>
      <c r="E10" s="20" t="s">
        <v>120</v>
      </c>
      <c r="F10" s="20" t="s">
        <v>88</v>
      </c>
      <c r="G10" s="20" t="s">
        <v>121</v>
      </c>
      <c r="H10" s="22" t="s">
        <v>843</v>
      </c>
      <c r="I10" s="20" t="s">
        <v>844</v>
      </c>
      <c r="J10" s="20" t="s">
        <v>155</v>
      </c>
      <c r="K10" s="20" t="s">
        <v>845</v>
      </c>
    </row>
    <row r="11" spans="1:11" ht="115.15" customHeight="1">
      <c r="A11" s="19" t="s">
        <v>122</v>
      </c>
      <c r="B11" s="20" t="s">
        <v>123</v>
      </c>
      <c r="C11" s="20" t="s">
        <v>102</v>
      </c>
      <c r="D11" s="21" t="s">
        <v>846</v>
      </c>
      <c r="E11" s="20" t="s">
        <v>124</v>
      </c>
      <c r="F11" s="20" t="s">
        <v>125</v>
      </c>
      <c r="G11" s="20" t="s">
        <v>89</v>
      </c>
      <c r="H11" s="22" t="s">
        <v>847</v>
      </c>
      <c r="I11" s="20" t="s">
        <v>844</v>
      </c>
      <c r="J11" s="20" t="s">
        <v>126</v>
      </c>
      <c r="K11" s="20" t="s">
        <v>127</v>
      </c>
    </row>
    <row r="12" spans="1:11" ht="115.15" customHeight="1">
      <c r="A12" s="19" t="s">
        <v>128</v>
      </c>
      <c r="B12" s="20" t="s">
        <v>129</v>
      </c>
      <c r="C12" s="20" t="s">
        <v>102</v>
      </c>
      <c r="D12" s="21" t="s">
        <v>848</v>
      </c>
      <c r="E12" s="20" t="s">
        <v>124</v>
      </c>
      <c r="F12" s="20" t="s">
        <v>125</v>
      </c>
      <c r="G12" s="20" t="s">
        <v>89</v>
      </c>
      <c r="H12" s="22" t="s">
        <v>849</v>
      </c>
      <c r="I12" s="20" t="s">
        <v>844</v>
      </c>
      <c r="J12" s="20" t="s">
        <v>126</v>
      </c>
      <c r="K12" s="20" t="s">
        <v>130</v>
      </c>
    </row>
    <row r="13" spans="1:11" ht="115.15" customHeight="1">
      <c r="A13" s="19" t="s">
        <v>131</v>
      </c>
      <c r="B13" s="20" t="s">
        <v>132</v>
      </c>
      <c r="C13" s="20" t="s">
        <v>102</v>
      </c>
      <c r="D13" s="21" t="s">
        <v>850</v>
      </c>
      <c r="E13" s="20" t="s">
        <v>124</v>
      </c>
      <c r="F13" s="20" t="s">
        <v>125</v>
      </c>
      <c r="G13" s="20" t="s">
        <v>89</v>
      </c>
      <c r="H13" s="22" t="s">
        <v>851</v>
      </c>
      <c r="I13" s="20" t="s">
        <v>844</v>
      </c>
      <c r="J13" s="20" t="s">
        <v>126</v>
      </c>
      <c r="K13" s="20" t="s">
        <v>852</v>
      </c>
    </row>
  </sheetData>
  <mergeCells count="2">
    <mergeCell ref="A2:K2"/>
    <mergeCell ref="A1:C1"/>
  </mergeCells>
  <dataValidations count="1">
    <dataValidation type="list" allowBlank="1" sqref="J14:J15 J4:J6 J8:J10" xr:uid="{00000000-0002-0000-0200-000000000000}">
      <formula1>"Yes,No,Need to check"</formula1>
    </dataValidation>
  </dataValidations>
  <hyperlinks>
    <hyperlink ref="D4" r:id="rId1" xr:uid="{00000000-0004-0000-0200-000000000000}"/>
    <hyperlink ref="D5" r:id="rId2" xr:uid="{00000000-0004-0000-0200-000001000000}"/>
    <hyperlink ref="D6" r:id="rId3" xr:uid="{00000000-0004-0000-0200-000002000000}"/>
    <hyperlink ref="D8" r:id="rId4" xr:uid="{00000000-0004-0000-0200-000003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5C8A"/>
  </sheetPr>
  <dimension ref="A1:P91"/>
  <sheetViews>
    <sheetView zoomScale="70" zoomScaleNormal="70" workbookViewId="0">
      <pane ySplit="3" topLeftCell="A4" activePane="bottomLeft" state="frozen"/>
      <selection pane="bottomLeft" activeCell="A4" sqref="A4"/>
    </sheetView>
  </sheetViews>
  <sheetFormatPr defaultRowHeight="15.75"/>
  <cols>
    <col min="1" max="1" width="24.796875" style="13" customWidth="1"/>
    <col min="2" max="2" width="22" customWidth="1"/>
    <col min="3" max="3" width="34" customWidth="1"/>
    <col min="4" max="4" width="14" customWidth="1"/>
    <col min="5" max="5" width="16" customWidth="1"/>
    <col min="6" max="6" width="20" customWidth="1"/>
    <col min="7" max="7" width="14" customWidth="1"/>
    <col min="8" max="8" width="22.33203125" customWidth="1"/>
    <col min="9" max="9" width="12.796875" customWidth="1"/>
    <col min="10" max="10" width="129.9296875" bestFit="1" customWidth="1"/>
  </cols>
  <sheetData>
    <row r="1" spans="1:11" ht="18.75">
      <c r="A1" s="41" t="s">
        <v>133</v>
      </c>
      <c r="B1" s="41"/>
      <c r="C1" s="41"/>
    </row>
    <row r="2" spans="1:11" ht="14.45" customHeight="1">
      <c r="A2" s="46" t="s">
        <v>853</v>
      </c>
      <c r="B2" s="43"/>
      <c r="C2" s="43"/>
      <c r="D2" s="43"/>
      <c r="E2" s="43"/>
      <c r="F2" s="43"/>
      <c r="G2" s="43"/>
      <c r="H2" s="43"/>
      <c r="I2" s="43"/>
      <c r="J2" s="43"/>
      <c r="K2" s="43"/>
    </row>
    <row r="3" spans="1:11" ht="24" customHeight="1">
      <c r="A3" s="10" t="s">
        <v>134</v>
      </c>
      <c r="B3" s="8" t="s">
        <v>135</v>
      </c>
      <c r="C3" s="8" t="s">
        <v>136</v>
      </c>
      <c r="D3" s="8" t="s">
        <v>137</v>
      </c>
      <c r="E3" s="8" t="s">
        <v>138</v>
      </c>
      <c r="F3" s="8" t="s">
        <v>139</v>
      </c>
      <c r="G3" s="8" t="s">
        <v>140</v>
      </c>
      <c r="H3" s="8" t="s">
        <v>141</v>
      </c>
      <c r="I3" s="8" t="s">
        <v>142</v>
      </c>
      <c r="J3" s="8" t="s">
        <v>143</v>
      </c>
    </row>
    <row r="4" spans="1:11" ht="66.099999999999994" customHeight="1">
      <c r="A4" s="12" t="s">
        <v>83</v>
      </c>
      <c r="B4" s="18" t="s">
        <v>144</v>
      </c>
      <c r="C4" s="18" t="s">
        <v>145</v>
      </c>
      <c r="D4" s="18" t="s">
        <v>146</v>
      </c>
      <c r="E4" s="18" t="s">
        <v>1040</v>
      </c>
      <c r="F4" s="18" t="s">
        <v>1072</v>
      </c>
      <c r="G4" s="18">
        <v>0</v>
      </c>
      <c r="H4" s="18">
        <v>218</v>
      </c>
      <c r="I4" s="18" t="s">
        <v>148</v>
      </c>
      <c r="J4" s="18" t="s">
        <v>1041</v>
      </c>
    </row>
    <row r="5" spans="1:11" ht="66.099999999999994" customHeight="1">
      <c r="A5" s="12" t="s">
        <v>83</v>
      </c>
      <c r="B5" s="18" t="s">
        <v>149</v>
      </c>
      <c r="C5" s="18" t="s">
        <v>150</v>
      </c>
      <c r="D5" s="18" t="s">
        <v>151</v>
      </c>
      <c r="E5" s="18" t="s">
        <v>1040</v>
      </c>
      <c r="F5" s="18" t="s">
        <v>1073</v>
      </c>
      <c r="G5" s="18">
        <v>0</v>
      </c>
      <c r="H5" s="18">
        <v>200</v>
      </c>
      <c r="I5" s="18" t="s">
        <v>148</v>
      </c>
      <c r="J5" s="18" t="s">
        <v>1042</v>
      </c>
    </row>
    <row r="6" spans="1:11" ht="66.099999999999994" customHeight="1">
      <c r="A6" s="12" t="s">
        <v>83</v>
      </c>
      <c r="B6" s="18" t="s">
        <v>152</v>
      </c>
      <c r="C6" s="18" t="s">
        <v>153</v>
      </c>
      <c r="D6" s="18" t="s">
        <v>154</v>
      </c>
      <c r="E6" s="18" t="s">
        <v>1040</v>
      </c>
      <c r="F6" s="18" t="s">
        <v>1074</v>
      </c>
      <c r="G6" s="18">
        <v>0</v>
      </c>
      <c r="H6" s="18">
        <v>205</v>
      </c>
      <c r="I6" s="18" t="s">
        <v>155</v>
      </c>
      <c r="J6" s="18" t="s">
        <v>1043</v>
      </c>
    </row>
    <row r="7" spans="1:11" ht="66.099999999999994" customHeight="1">
      <c r="A7" s="12" t="s">
        <v>83</v>
      </c>
      <c r="B7" s="18" t="s">
        <v>156</v>
      </c>
      <c r="C7" s="18" t="s">
        <v>157</v>
      </c>
      <c r="D7" s="18" t="s">
        <v>146</v>
      </c>
      <c r="E7" s="18" t="s">
        <v>1040</v>
      </c>
      <c r="F7" s="18" t="s">
        <v>1075</v>
      </c>
      <c r="G7" s="18">
        <v>0</v>
      </c>
      <c r="H7" s="18">
        <v>27</v>
      </c>
      <c r="I7" s="18" t="s">
        <v>148</v>
      </c>
      <c r="J7" s="18" t="s">
        <v>1044</v>
      </c>
    </row>
    <row r="8" spans="1:11" ht="66.099999999999994" customHeight="1">
      <c r="A8" s="12" t="s">
        <v>83</v>
      </c>
      <c r="B8" s="18" t="s">
        <v>158</v>
      </c>
      <c r="C8" s="18" t="s">
        <v>159</v>
      </c>
      <c r="D8" s="18" t="s">
        <v>146</v>
      </c>
      <c r="E8" s="18" t="s">
        <v>1040</v>
      </c>
      <c r="F8" s="18" t="s">
        <v>1076</v>
      </c>
      <c r="G8" s="18">
        <v>0</v>
      </c>
      <c r="H8" s="18">
        <v>218</v>
      </c>
      <c r="I8" s="18" t="s">
        <v>148</v>
      </c>
      <c r="J8" s="18" t="s">
        <v>1045</v>
      </c>
    </row>
    <row r="9" spans="1:11" ht="66.099999999999994" customHeight="1">
      <c r="A9" s="12" t="s">
        <v>83</v>
      </c>
      <c r="B9" s="18" t="s">
        <v>160</v>
      </c>
      <c r="C9" s="18" t="s">
        <v>161</v>
      </c>
      <c r="D9" s="18" t="s">
        <v>162</v>
      </c>
      <c r="E9" s="18" t="s">
        <v>155</v>
      </c>
      <c r="F9" s="18" t="s">
        <v>1077</v>
      </c>
      <c r="G9" s="18">
        <v>0.156</v>
      </c>
      <c r="H9" s="18">
        <v>173</v>
      </c>
      <c r="I9" s="18" t="s">
        <v>148</v>
      </c>
      <c r="J9" s="18" t="s">
        <v>1046</v>
      </c>
    </row>
    <row r="10" spans="1:11" ht="66.099999999999994" customHeight="1">
      <c r="A10" s="12" t="s">
        <v>83</v>
      </c>
      <c r="B10" s="18" t="s">
        <v>1080</v>
      </c>
      <c r="C10" s="18" t="s">
        <v>163</v>
      </c>
      <c r="D10" s="18" t="s">
        <v>154</v>
      </c>
      <c r="E10" s="18" t="s">
        <v>155</v>
      </c>
      <c r="F10" s="18" t="s">
        <v>1078</v>
      </c>
      <c r="G10" s="18">
        <v>2.29E-2</v>
      </c>
      <c r="H10" s="18">
        <v>179</v>
      </c>
      <c r="I10" s="18" t="s">
        <v>148</v>
      </c>
      <c r="J10" s="18" t="s">
        <v>1047</v>
      </c>
    </row>
    <row r="11" spans="1:11" ht="66.099999999999994" customHeight="1">
      <c r="A11" s="12" t="s">
        <v>83</v>
      </c>
      <c r="B11" s="18" t="s">
        <v>164</v>
      </c>
      <c r="C11" s="18" t="s">
        <v>165</v>
      </c>
      <c r="D11" s="18" t="s">
        <v>166</v>
      </c>
      <c r="E11" s="18" t="s">
        <v>1040</v>
      </c>
      <c r="F11" s="18" t="s">
        <v>1079</v>
      </c>
      <c r="G11" s="18">
        <v>0</v>
      </c>
      <c r="H11" s="18">
        <v>173</v>
      </c>
      <c r="I11" s="18" t="s">
        <v>148</v>
      </c>
      <c r="J11" s="18" t="s">
        <v>1048</v>
      </c>
    </row>
    <row r="12" spans="1:11" ht="66.099999999999994" customHeight="1">
      <c r="A12" s="12" t="s">
        <v>92</v>
      </c>
      <c r="B12" s="18" t="s">
        <v>167</v>
      </c>
      <c r="C12" s="18" t="s">
        <v>167</v>
      </c>
      <c r="D12" s="18" t="s">
        <v>168</v>
      </c>
      <c r="E12" s="18" t="s">
        <v>148</v>
      </c>
      <c r="F12" s="18">
        <v>2025</v>
      </c>
      <c r="G12" s="18">
        <v>0</v>
      </c>
      <c r="H12" s="18">
        <v>1</v>
      </c>
      <c r="I12" s="18" t="s">
        <v>148</v>
      </c>
      <c r="J12" s="18" t="s">
        <v>854</v>
      </c>
    </row>
    <row r="13" spans="1:11" ht="26.35" customHeight="1">
      <c r="A13" s="12" t="s">
        <v>92</v>
      </c>
      <c r="B13" s="18" t="s">
        <v>169</v>
      </c>
      <c r="C13" s="18" t="s">
        <v>170</v>
      </c>
      <c r="D13" s="18" t="s">
        <v>146</v>
      </c>
      <c r="E13" s="18" t="s">
        <v>148</v>
      </c>
      <c r="F13" s="18" t="s">
        <v>171</v>
      </c>
      <c r="G13" s="18">
        <v>0</v>
      </c>
      <c r="H13" s="18">
        <v>8</v>
      </c>
      <c r="I13" s="18" t="s">
        <v>148</v>
      </c>
      <c r="J13" s="18" t="s">
        <v>855</v>
      </c>
    </row>
    <row r="14" spans="1:11" ht="15.6" customHeight="1">
      <c r="A14" s="12" t="s">
        <v>92</v>
      </c>
      <c r="B14" s="18" t="s">
        <v>172</v>
      </c>
      <c r="C14" s="18" t="s">
        <v>173</v>
      </c>
      <c r="D14" s="18" t="s">
        <v>146</v>
      </c>
      <c r="E14" s="18" t="s">
        <v>148</v>
      </c>
      <c r="F14" s="18" t="s">
        <v>174</v>
      </c>
      <c r="G14" s="18">
        <v>0</v>
      </c>
      <c r="H14" s="18">
        <v>2</v>
      </c>
      <c r="I14" s="18" t="s">
        <v>148</v>
      </c>
      <c r="J14" s="18" t="s">
        <v>856</v>
      </c>
    </row>
    <row r="15" spans="1:11" ht="26.35" customHeight="1">
      <c r="A15" s="12" t="s">
        <v>92</v>
      </c>
      <c r="B15" s="18" t="s">
        <v>175</v>
      </c>
      <c r="C15" s="18" t="s">
        <v>176</v>
      </c>
      <c r="D15" s="18" t="s">
        <v>146</v>
      </c>
      <c r="E15" s="18" t="s">
        <v>148</v>
      </c>
      <c r="F15" s="18" t="s">
        <v>177</v>
      </c>
      <c r="G15" s="18">
        <v>0</v>
      </c>
      <c r="H15" s="18">
        <v>1</v>
      </c>
      <c r="I15" s="18" t="s">
        <v>148</v>
      </c>
      <c r="J15" s="18" t="s">
        <v>857</v>
      </c>
    </row>
    <row r="16" spans="1:11" ht="39.6" customHeight="1">
      <c r="A16" s="12" t="s">
        <v>92</v>
      </c>
      <c r="B16" s="18" t="s">
        <v>178</v>
      </c>
      <c r="C16" s="18" t="s">
        <v>179</v>
      </c>
      <c r="D16" s="18" t="s">
        <v>146</v>
      </c>
      <c r="E16" s="18" t="s">
        <v>148</v>
      </c>
      <c r="F16" s="18" t="s">
        <v>180</v>
      </c>
      <c r="G16" s="18">
        <v>0</v>
      </c>
      <c r="H16" s="18">
        <v>1</v>
      </c>
      <c r="I16" s="18" t="s">
        <v>148</v>
      </c>
      <c r="J16" s="18" t="s">
        <v>858</v>
      </c>
    </row>
    <row r="17" spans="1:10" ht="66.099999999999994" customHeight="1">
      <c r="A17" s="12" t="s">
        <v>92</v>
      </c>
      <c r="B17" s="18" t="s">
        <v>181</v>
      </c>
      <c r="C17" s="18" t="s">
        <v>182</v>
      </c>
      <c r="D17" s="18" t="s">
        <v>146</v>
      </c>
      <c r="E17" s="18" t="s">
        <v>148</v>
      </c>
      <c r="F17" s="18" t="s">
        <v>183</v>
      </c>
      <c r="G17" s="18">
        <v>0</v>
      </c>
      <c r="H17" s="18">
        <v>213</v>
      </c>
      <c r="I17" s="18" t="s">
        <v>148</v>
      </c>
      <c r="J17" s="18" t="s">
        <v>859</v>
      </c>
    </row>
    <row r="18" spans="1:10" ht="52.8" customHeight="1">
      <c r="A18" s="12" t="s">
        <v>92</v>
      </c>
      <c r="B18" s="18" t="s">
        <v>184</v>
      </c>
      <c r="C18" s="18" t="s">
        <v>185</v>
      </c>
      <c r="D18" s="18" t="s">
        <v>146</v>
      </c>
      <c r="E18" s="18" t="s">
        <v>148</v>
      </c>
      <c r="F18" s="18" t="s">
        <v>186</v>
      </c>
      <c r="G18" s="18">
        <v>0</v>
      </c>
      <c r="H18" s="18">
        <v>88</v>
      </c>
      <c r="I18" s="18" t="s">
        <v>148</v>
      </c>
      <c r="J18" s="18" t="s">
        <v>860</v>
      </c>
    </row>
    <row r="19" spans="1:10" ht="39.6" customHeight="1">
      <c r="A19" s="12" t="s">
        <v>96</v>
      </c>
      <c r="B19" s="18" t="s">
        <v>187</v>
      </c>
      <c r="C19" s="18" t="s">
        <v>188</v>
      </c>
      <c r="D19" s="18" t="s">
        <v>189</v>
      </c>
      <c r="E19" s="18" t="s">
        <v>1071</v>
      </c>
      <c r="F19" s="18" t="s">
        <v>191</v>
      </c>
      <c r="G19" s="18">
        <v>0</v>
      </c>
      <c r="H19" s="18">
        <v>39361</v>
      </c>
      <c r="I19" s="18" t="s">
        <v>155</v>
      </c>
      <c r="J19" s="18" t="s">
        <v>1063</v>
      </c>
    </row>
    <row r="20" spans="1:10" ht="39.6" customHeight="1">
      <c r="A20" s="12" t="s">
        <v>96</v>
      </c>
      <c r="B20" s="18" t="s">
        <v>192</v>
      </c>
      <c r="C20" s="18" t="s">
        <v>193</v>
      </c>
      <c r="D20" s="18" t="s">
        <v>146</v>
      </c>
      <c r="E20" s="18" t="s">
        <v>148</v>
      </c>
      <c r="F20" s="18" t="s">
        <v>194</v>
      </c>
      <c r="G20" s="18">
        <v>0</v>
      </c>
      <c r="H20" s="18">
        <v>41135</v>
      </c>
      <c r="I20" s="18" t="s">
        <v>148</v>
      </c>
      <c r="J20" s="18" t="s">
        <v>1064</v>
      </c>
    </row>
    <row r="21" spans="1:10" ht="39.6" customHeight="1">
      <c r="A21" s="12" t="s">
        <v>96</v>
      </c>
      <c r="B21" s="18" t="s">
        <v>184</v>
      </c>
      <c r="C21" s="18" t="s">
        <v>195</v>
      </c>
      <c r="D21" s="18" t="s">
        <v>146</v>
      </c>
      <c r="E21" s="18" t="s">
        <v>148</v>
      </c>
      <c r="F21" s="18" t="s">
        <v>196</v>
      </c>
      <c r="G21" s="18">
        <v>0</v>
      </c>
      <c r="H21" s="18">
        <v>4736</v>
      </c>
      <c r="I21" s="18" t="s">
        <v>148</v>
      </c>
      <c r="J21" s="18" t="s">
        <v>1065</v>
      </c>
    </row>
    <row r="22" spans="1:10" ht="39.6" customHeight="1">
      <c r="A22" s="12" t="s">
        <v>96</v>
      </c>
      <c r="B22" s="18" t="s">
        <v>197</v>
      </c>
      <c r="C22" s="18" t="s">
        <v>198</v>
      </c>
      <c r="D22" s="18" t="s">
        <v>189</v>
      </c>
      <c r="E22" s="18" t="s">
        <v>148</v>
      </c>
      <c r="F22" s="18" t="s">
        <v>199</v>
      </c>
      <c r="G22" s="18">
        <v>0</v>
      </c>
      <c r="H22" s="18">
        <v>9</v>
      </c>
      <c r="I22" s="18" t="s">
        <v>148</v>
      </c>
      <c r="J22" s="18" t="s">
        <v>1066</v>
      </c>
    </row>
    <row r="23" spans="1:10" ht="39.6" customHeight="1">
      <c r="A23" s="12" t="s">
        <v>96</v>
      </c>
      <c r="B23" s="18" t="s">
        <v>200</v>
      </c>
      <c r="C23" s="18" t="s">
        <v>201</v>
      </c>
      <c r="D23" s="18" t="s">
        <v>189</v>
      </c>
      <c r="E23" s="18" t="s">
        <v>155</v>
      </c>
      <c r="F23" s="18" t="s">
        <v>202</v>
      </c>
      <c r="G23" s="28">
        <v>8.1247116528664745E-2</v>
      </c>
      <c r="H23" s="18">
        <v>37759</v>
      </c>
      <c r="I23" s="18" t="s">
        <v>148</v>
      </c>
      <c r="J23" s="18" t="s">
        <v>1067</v>
      </c>
    </row>
    <row r="24" spans="1:10" ht="39.6" customHeight="1">
      <c r="A24" s="12" t="s">
        <v>96</v>
      </c>
      <c r="B24" s="18" t="s">
        <v>203</v>
      </c>
      <c r="C24" s="18" t="s">
        <v>161</v>
      </c>
      <c r="D24" s="18" t="s">
        <v>162</v>
      </c>
      <c r="E24" s="18" t="s">
        <v>155</v>
      </c>
      <c r="F24" s="18" t="s">
        <v>204</v>
      </c>
      <c r="G24" s="28">
        <v>0.39212781973144256</v>
      </c>
      <c r="H24" s="18">
        <v>25019</v>
      </c>
      <c r="I24" s="18" t="s">
        <v>148</v>
      </c>
      <c r="J24" s="18" t="s">
        <v>1068</v>
      </c>
    </row>
    <row r="25" spans="1:10" ht="39.6" customHeight="1">
      <c r="A25" s="12" t="s">
        <v>96</v>
      </c>
      <c r="B25" s="18" t="s">
        <v>205</v>
      </c>
      <c r="C25" s="18" t="s">
        <v>206</v>
      </c>
      <c r="D25" s="18" t="s">
        <v>189</v>
      </c>
      <c r="E25" s="18" t="s">
        <v>147</v>
      </c>
      <c r="F25" s="18" t="s">
        <v>207</v>
      </c>
      <c r="G25" s="28">
        <v>0</v>
      </c>
      <c r="H25" s="18">
        <v>30596</v>
      </c>
      <c r="I25" s="18" t="s">
        <v>148</v>
      </c>
      <c r="J25" s="18" t="s">
        <v>1069</v>
      </c>
    </row>
    <row r="26" spans="1:10" ht="39.6" customHeight="1">
      <c r="A26" s="12" t="s">
        <v>96</v>
      </c>
      <c r="B26" s="18" t="s">
        <v>144</v>
      </c>
      <c r="C26" s="18" t="s">
        <v>208</v>
      </c>
      <c r="D26" s="18" t="s">
        <v>146</v>
      </c>
      <c r="E26" s="18" t="s">
        <v>155</v>
      </c>
      <c r="F26" s="18" t="s">
        <v>209</v>
      </c>
      <c r="G26" s="28">
        <v>0.62076584998664497</v>
      </c>
      <c r="H26" s="18">
        <v>15610</v>
      </c>
      <c r="I26" s="18" t="s">
        <v>148</v>
      </c>
      <c r="J26" s="18" t="s">
        <v>1070</v>
      </c>
    </row>
    <row r="27" spans="1:10" ht="39.6" customHeight="1">
      <c r="A27" s="12" t="s">
        <v>100</v>
      </c>
      <c r="B27" s="18" t="s">
        <v>210</v>
      </c>
      <c r="C27" s="18" t="s">
        <v>211</v>
      </c>
      <c r="D27" s="18" t="s">
        <v>146</v>
      </c>
      <c r="E27" s="18" t="s">
        <v>148</v>
      </c>
      <c r="F27" s="18" t="s">
        <v>348</v>
      </c>
      <c r="G27" s="28">
        <v>0</v>
      </c>
      <c r="H27" s="18">
        <v>5529</v>
      </c>
      <c r="I27" s="18" t="s">
        <v>148</v>
      </c>
      <c r="J27" s="18" t="s">
        <v>976</v>
      </c>
    </row>
    <row r="28" spans="1:10" ht="39.6" customHeight="1">
      <c r="A28" s="12" t="s">
        <v>100</v>
      </c>
      <c r="B28" s="18" t="s">
        <v>149</v>
      </c>
      <c r="C28" s="18" t="s">
        <v>212</v>
      </c>
      <c r="D28" s="18" t="s">
        <v>146</v>
      </c>
      <c r="E28" s="18" t="s">
        <v>213</v>
      </c>
      <c r="F28" s="18" t="s">
        <v>1081</v>
      </c>
      <c r="G28" s="28">
        <v>0</v>
      </c>
      <c r="H28" s="18">
        <v>5463</v>
      </c>
      <c r="I28" s="18" t="s">
        <v>148</v>
      </c>
      <c r="J28" s="18" t="s">
        <v>977</v>
      </c>
    </row>
    <row r="29" spans="1:10" ht="39.6" customHeight="1">
      <c r="A29" s="12" t="s">
        <v>100</v>
      </c>
      <c r="B29" s="18" t="s">
        <v>214</v>
      </c>
      <c r="C29" s="18" t="s">
        <v>215</v>
      </c>
      <c r="D29" s="18" t="s">
        <v>146</v>
      </c>
      <c r="E29" s="18" t="s">
        <v>155</v>
      </c>
      <c r="F29" s="18" t="s">
        <v>1082</v>
      </c>
      <c r="G29" s="28">
        <v>0</v>
      </c>
      <c r="H29" s="18">
        <v>5529</v>
      </c>
      <c r="I29" s="18" t="s">
        <v>148</v>
      </c>
      <c r="J29" s="18" t="s">
        <v>978</v>
      </c>
    </row>
    <row r="30" spans="1:10" ht="39.6" customHeight="1">
      <c r="A30" s="12" t="s">
        <v>100</v>
      </c>
      <c r="B30" s="18" t="s">
        <v>216</v>
      </c>
      <c r="C30" s="18" t="s">
        <v>217</v>
      </c>
      <c r="D30" s="18" t="s">
        <v>218</v>
      </c>
      <c r="E30" s="18" t="s">
        <v>155</v>
      </c>
      <c r="F30" s="37">
        <v>44960</v>
      </c>
      <c r="G30" s="28">
        <v>0</v>
      </c>
      <c r="H30" s="18">
        <v>1219</v>
      </c>
      <c r="I30" s="18" t="s">
        <v>148</v>
      </c>
      <c r="J30" s="18" t="s">
        <v>979</v>
      </c>
    </row>
    <row r="31" spans="1:10" ht="39.6" customHeight="1">
      <c r="A31" s="12" t="s">
        <v>100</v>
      </c>
      <c r="B31" s="18" t="s">
        <v>219</v>
      </c>
      <c r="C31" s="18" t="s">
        <v>220</v>
      </c>
      <c r="D31" s="18" t="s">
        <v>146</v>
      </c>
      <c r="E31" s="18" t="s">
        <v>148</v>
      </c>
      <c r="F31" s="18" t="s">
        <v>221</v>
      </c>
      <c r="G31" s="28">
        <v>0</v>
      </c>
      <c r="H31" s="18">
        <v>18</v>
      </c>
      <c r="I31" s="18" t="s">
        <v>148</v>
      </c>
      <c r="J31" s="18" t="s">
        <v>980</v>
      </c>
    </row>
    <row r="32" spans="1:10" ht="39.6" customHeight="1">
      <c r="A32" s="12" t="s">
        <v>100</v>
      </c>
      <c r="B32" s="18" t="s">
        <v>222</v>
      </c>
      <c r="C32" s="18" t="s">
        <v>223</v>
      </c>
      <c r="D32" s="18" t="s">
        <v>146</v>
      </c>
      <c r="E32" s="18" t="s">
        <v>155</v>
      </c>
      <c r="F32" s="18" t="s">
        <v>224</v>
      </c>
      <c r="G32" s="28">
        <v>7.9699999999999993E-2</v>
      </c>
      <c r="H32" s="18">
        <v>5</v>
      </c>
      <c r="I32" s="18" t="s">
        <v>148</v>
      </c>
      <c r="J32" s="18" t="s">
        <v>981</v>
      </c>
    </row>
    <row r="33" spans="1:10" ht="39.6" customHeight="1">
      <c r="A33" s="12" t="s">
        <v>100</v>
      </c>
      <c r="B33" s="18" t="s">
        <v>225</v>
      </c>
      <c r="C33" s="18" t="s">
        <v>226</v>
      </c>
      <c r="D33" s="18" t="s">
        <v>154</v>
      </c>
      <c r="E33" s="18" t="s">
        <v>155</v>
      </c>
      <c r="F33" s="18" t="s">
        <v>1083</v>
      </c>
      <c r="G33" s="28">
        <v>0</v>
      </c>
      <c r="H33" s="18">
        <v>5455</v>
      </c>
      <c r="I33" s="18" t="s">
        <v>155</v>
      </c>
      <c r="J33" s="18" t="s">
        <v>982</v>
      </c>
    </row>
    <row r="34" spans="1:10" ht="39.6" customHeight="1">
      <c r="A34" s="12" t="s">
        <v>100</v>
      </c>
      <c r="B34" s="18" t="s">
        <v>227</v>
      </c>
      <c r="C34" s="18" t="s">
        <v>228</v>
      </c>
      <c r="D34" s="18" t="s">
        <v>166</v>
      </c>
      <c r="E34" s="18" t="s">
        <v>155</v>
      </c>
      <c r="F34" s="18" t="s">
        <v>1084</v>
      </c>
      <c r="G34" s="28">
        <v>0</v>
      </c>
      <c r="H34" s="18">
        <v>5529</v>
      </c>
      <c r="I34" s="18" t="s">
        <v>148</v>
      </c>
      <c r="J34" s="18" t="s">
        <v>983</v>
      </c>
    </row>
    <row r="35" spans="1:10" ht="39.6" customHeight="1">
      <c r="A35" s="12" t="s">
        <v>100</v>
      </c>
      <c r="B35" s="18" t="s">
        <v>229</v>
      </c>
      <c r="C35" s="18" t="s">
        <v>230</v>
      </c>
      <c r="D35" s="18" t="s">
        <v>166</v>
      </c>
      <c r="E35" s="18" t="s">
        <v>155</v>
      </c>
      <c r="F35" s="18" t="s">
        <v>1085</v>
      </c>
      <c r="G35" s="28">
        <v>0.18240000000000001</v>
      </c>
      <c r="H35" s="18">
        <v>4469</v>
      </c>
      <c r="I35" s="18" t="s">
        <v>148</v>
      </c>
      <c r="J35" s="18" t="s">
        <v>984</v>
      </c>
    </row>
    <row r="36" spans="1:10" ht="66.099999999999994" customHeight="1">
      <c r="A36" s="12" t="s">
        <v>100</v>
      </c>
      <c r="B36" s="18" t="s">
        <v>231</v>
      </c>
      <c r="C36" s="18" t="s">
        <v>232</v>
      </c>
      <c r="D36" s="18" t="s">
        <v>154</v>
      </c>
      <c r="E36" s="18" t="s">
        <v>155</v>
      </c>
      <c r="F36" s="18" t="s">
        <v>1086</v>
      </c>
      <c r="G36" s="28">
        <v>0</v>
      </c>
      <c r="H36" s="18">
        <v>5493</v>
      </c>
      <c r="I36" s="18" t="s">
        <v>148</v>
      </c>
      <c r="J36" s="18" t="s">
        <v>985</v>
      </c>
    </row>
    <row r="37" spans="1:10" ht="66.099999999999994" customHeight="1">
      <c r="A37" s="12" t="s">
        <v>100</v>
      </c>
      <c r="B37" s="18" t="s">
        <v>233</v>
      </c>
      <c r="C37" s="18" t="s">
        <v>234</v>
      </c>
      <c r="D37" s="18" t="s">
        <v>154</v>
      </c>
      <c r="E37" s="18" t="s">
        <v>155</v>
      </c>
      <c r="F37" s="18" t="s">
        <v>1087</v>
      </c>
      <c r="G37" s="28">
        <v>2.0000000000000001E-4</v>
      </c>
      <c r="H37" s="18">
        <v>5498</v>
      </c>
      <c r="I37" s="18" t="s">
        <v>148</v>
      </c>
      <c r="J37" s="18" t="s">
        <v>986</v>
      </c>
    </row>
    <row r="38" spans="1:10" ht="66.099999999999994" customHeight="1">
      <c r="A38" s="12" t="s">
        <v>100</v>
      </c>
      <c r="B38" s="18" t="s">
        <v>235</v>
      </c>
      <c r="C38" s="18" t="s">
        <v>236</v>
      </c>
      <c r="D38" s="18" t="s">
        <v>166</v>
      </c>
      <c r="E38" s="18" t="s">
        <v>155</v>
      </c>
      <c r="F38" s="18" t="s">
        <v>1088</v>
      </c>
      <c r="G38" s="28">
        <v>0</v>
      </c>
      <c r="H38" s="18">
        <v>3969</v>
      </c>
      <c r="I38" s="18" t="s">
        <v>148</v>
      </c>
      <c r="J38" s="18" t="s">
        <v>987</v>
      </c>
    </row>
    <row r="39" spans="1:10" ht="66.099999999999994" customHeight="1">
      <c r="A39" s="12" t="s">
        <v>100</v>
      </c>
      <c r="B39" s="18" t="s">
        <v>237</v>
      </c>
      <c r="C39" s="18" t="s">
        <v>238</v>
      </c>
      <c r="D39" s="18" t="s">
        <v>166</v>
      </c>
      <c r="E39" s="18" t="s">
        <v>155</v>
      </c>
      <c r="F39" s="18" t="s">
        <v>1089</v>
      </c>
      <c r="G39" s="28">
        <v>0</v>
      </c>
      <c r="H39" s="18">
        <v>4516</v>
      </c>
      <c r="I39" s="18" t="s">
        <v>148</v>
      </c>
      <c r="J39" s="18" t="s">
        <v>988</v>
      </c>
    </row>
    <row r="40" spans="1:10" ht="66.099999999999994" customHeight="1">
      <c r="A40" s="12" t="s">
        <v>100</v>
      </c>
      <c r="B40" s="18" t="s">
        <v>239</v>
      </c>
      <c r="C40" s="18" t="s">
        <v>240</v>
      </c>
      <c r="D40" s="18" t="s">
        <v>241</v>
      </c>
      <c r="E40" s="18" t="s">
        <v>242</v>
      </c>
      <c r="F40" s="18" t="s">
        <v>1090</v>
      </c>
      <c r="G40" s="28">
        <v>0</v>
      </c>
      <c r="H40" s="18">
        <v>83</v>
      </c>
      <c r="I40" s="18" t="s">
        <v>148</v>
      </c>
      <c r="J40" s="18" t="s">
        <v>989</v>
      </c>
    </row>
    <row r="41" spans="1:10" ht="66.099999999999994" customHeight="1">
      <c r="A41" s="12" t="s">
        <v>106</v>
      </c>
      <c r="B41" s="18" t="s">
        <v>181</v>
      </c>
      <c r="C41" s="18" t="s">
        <v>182</v>
      </c>
      <c r="D41" s="18" t="s">
        <v>146</v>
      </c>
      <c r="E41" s="18" t="s">
        <v>148</v>
      </c>
      <c r="F41" s="18" t="s">
        <v>243</v>
      </c>
      <c r="G41" s="36">
        <v>0</v>
      </c>
      <c r="H41" s="18">
        <v>30679</v>
      </c>
      <c r="I41" s="18" t="s">
        <v>148</v>
      </c>
      <c r="J41" s="18" t="s">
        <v>1010</v>
      </c>
    </row>
    <row r="42" spans="1:10" ht="66.099999999999994" customHeight="1">
      <c r="A42" s="12" t="s">
        <v>106</v>
      </c>
      <c r="B42" s="18" t="s">
        <v>187</v>
      </c>
      <c r="C42" s="18" t="s">
        <v>153</v>
      </c>
      <c r="D42" s="18" t="s">
        <v>244</v>
      </c>
      <c r="E42" s="18" t="s">
        <v>155</v>
      </c>
      <c r="F42" s="18" t="s">
        <v>245</v>
      </c>
      <c r="G42" s="36">
        <v>1.1900000000000001E-3</v>
      </c>
      <c r="H42" s="18">
        <v>25657</v>
      </c>
      <c r="I42" s="18" t="s">
        <v>155</v>
      </c>
      <c r="J42" s="18" t="s">
        <v>1011</v>
      </c>
    </row>
    <row r="43" spans="1:10" ht="66.099999999999994" customHeight="1">
      <c r="A43" s="12" t="s">
        <v>106</v>
      </c>
      <c r="B43" s="18" t="s">
        <v>246</v>
      </c>
      <c r="C43" s="18" t="s">
        <v>185</v>
      </c>
      <c r="D43" s="18" t="s">
        <v>146</v>
      </c>
      <c r="E43" s="18" t="s">
        <v>155</v>
      </c>
      <c r="F43" s="18" t="s">
        <v>247</v>
      </c>
      <c r="G43" s="36">
        <v>0.22891300000000001</v>
      </c>
      <c r="H43" s="18">
        <v>4687</v>
      </c>
      <c r="I43" s="18" t="s">
        <v>148</v>
      </c>
      <c r="J43" s="18" t="s">
        <v>1012</v>
      </c>
    </row>
    <row r="44" spans="1:10" ht="66.099999999999994" customHeight="1">
      <c r="A44" s="12" t="s">
        <v>106</v>
      </c>
      <c r="B44" s="18" t="s">
        <v>248</v>
      </c>
      <c r="C44" s="18" t="s">
        <v>249</v>
      </c>
      <c r="D44" s="18" t="s">
        <v>146</v>
      </c>
      <c r="E44" s="18" t="s">
        <v>155</v>
      </c>
      <c r="F44" s="18" t="s">
        <v>250</v>
      </c>
      <c r="G44" s="36">
        <v>5.4140000000000001E-2</v>
      </c>
      <c r="H44" s="18">
        <v>658</v>
      </c>
      <c r="I44" s="18" t="s">
        <v>148</v>
      </c>
      <c r="J44" s="18" t="s">
        <v>1013</v>
      </c>
    </row>
    <row r="45" spans="1:10" ht="66.099999999999994" customHeight="1">
      <c r="A45" s="12" t="s">
        <v>106</v>
      </c>
      <c r="B45" s="18" t="s">
        <v>144</v>
      </c>
      <c r="C45" s="18" t="s">
        <v>208</v>
      </c>
      <c r="D45" s="18" t="s">
        <v>146</v>
      </c>
      <c r="E45" s="18" t="s">
        <v>155</v>
      </c>
      <c r="F45" s="18" t="s">
        <v>251</v>
      </c>
      <c r="G45" s="36">
        <v>0.112012</v>
      </c>
      <c r="H45" s="18">
        <v>27556</v>
      </c>
      <c r="I45" s="18" t="s">
        <v>148</v>
      </c>
      <c r="J45" s="18" t="s">
        <v>1014</v>
      </c>
    </row>
    <row r="46" spans="1:10" ht="66.099999999999994" customHeight="1">
      <c r="A46" s="12" t="s">
        <v>106</v>
      </c>
      <c r="B46" s="18" t="s">
        <v>252</v>
      </c>
      <c r="C46" s="18" t="s">
        <v>253</v>
      </c>
      <c r="D46" s="18" t="s">
        <v>146</v>
      </c>
      <c r="E46" s="18" t="s">
        <v>155</v>
      </c>
      <c r="F46" s="18" t="s">
        <v>254</v>
      </c>
      <c r="G46" s="36">
        <v>3.1999999999999999E-5</v>
      </c>
      <c r="H46" s="18">
        <v>31083</v>
      </c>
      <c r="I46" s="18" t="s">
        <v>148</v>
      </c>
      <c r="J46" s="18" t="s">
        <v>1015</v>
      </c>
    </row>
    <row r="47" spans="1:10" ht="66.099999999999994" customHeight="1">
      <c r="A47" s="12" t="s">
        <v>106</v>
      </c>
      <c r="B47" s="18" t="s">
        <v>255</v>
      </c>
      <c r="C47" s="18" t="s">
        <v>165</v>
      </c>
      <c r="D47" s="18" t="s">
        <v>218</v>
      </c>
      <c r="E47" s="18" t="s">
        <v>155</v>
      </c>
      <c r="F47" s="18">
        <v>45025</v>
      </c>
      <c r="G47" s="36">
        <v>1.3190000000000001E-3</v>
      </c>
      <c r="H47" s="18">
        <v>4347</v>
      </c>
      <c r="I47" s="18" t="s">
        <v>148</v>
      </c>
      <c r="J47" s="18" t="s">
        <v>1016</v>
      </c>
    </row>
    <row r="48" spans="1:10" ht="66.099999999999994" customHeight="1">
      <c r="A48" s="12" t="s">
        <v>106</v>
      </c>
      <c r="B48" s="18" t="s">
        <v>256</v>
      </c>
      <c r="C48" s="18" t="s">
        <v>257</v>
      </c>
      <c r="D48" s="18" t="s">
        <v>162</v>
      </c>
      <c r="E48" s="18" t="s">
        <v>155</v>
      </c>
      <c r="F48" s="18" t="s">
        <v>258</v>
      </c>
      <c r="G48" s="36">
        <v>0.113202</v>
      </c>
      <c r="H48" s="18">
        <v>27532</v>
      </c>
      <c r="I48" s="18" t="s">
        <v>155</v>
      </c>
      <c r="J48" s="18" t="s">
        <v>1017</v>
      </c>
    </row>
    <row r="49" spans="1:10" ht="66.099999999999994" customHeight="1">
      <c r="A49" s="12" t="s">
        <v>106</v>
      </c>
      <c r="B49" s="18" t="s">
        <v>203</v>
      </c>
      <c r="C49" s="18" t="s">
        <v>259</v>
      </c>
      <c r="D49" s="18" t="s">
        <v>162</v>
      </c>
      <c r="E49" s="18" t="s">
        <v>155</v>
      </c>
      <c r="F49" s="18" t="s">
        <v>260</v>
      </c>
      <c r="G49" s="36">
        <v>5.1727000000000002E-2</v>
      </c>
      <c r="H49" s="18">
        <v>28560</v>
      </c>
      <c r="I49" s="18" t="s">
        <v>148</v>
      </c>
      <c r="J49" s="18" t="s">
        <v>1018</v>
      </c>
    </row>
    <row r="50" spans="1:10" ht="66.099999999999994" customHeight="1">
      <c r="A50" s="12" t="s">
        <v>106</v>
      </c>
      <c r="B50" s="18" t="s">
        <v>261</v>
      </c>
      <c r="C50" s="18" t="s">
        <v>262</v>
      </c>
      <c r="D50" s="18" t="s">
        <v>146</v>
      </c>
      <c r="E50" s="18" t="s">
        <v>155</v>
      </c>
      <c r="F50" s="18" t="s">
        <v>263</v>
      </c>
      <c r="G50" s="36">
        <v>0.82638500000000004</v>
      </c>
      <c r="H50" s="18">
        <v>170</v>
      </c>
      <c r="I50" s="18" t="s">
        <v>148</v>
      </c>
      <c r="J50" s="18" t="s">
        <v>1019</v>
      </c>
    </row>
    <row r="51" spans="1:10" ht="66.099999999999994" customHeight="1">
      <c r="A51" s="12" t="s">
        <v>106</v>
      </c>
      <c r="B51" s="18" t="s">
        <v>264</v>
      </c>
      <c r="C51" s="18" t="s">
        <v>265</v>
      </c>
      <c r="D51" s="18" t="s">
        <v>146</v>
      </c>
      <c r="E51" s="18" t="s">
        <v>148</v>
      </c>
      <c r="F51" s="18" t="s">
        <v>266</v>
      </c>
      <c r="G51" s="36">
        <v>0</v>
      </c>
      <c r="H51" s="18">
        <v>3</v>
      </c>
      <c r="I51" s="18" t="s">
        <v>148</v>
      </c>
      <c r="J51" s="18" t="s">
        <v>1020</v>
      </c>
    </row>
    <row r="52" spans="1:10" ht="66.099999999999994" customHeight="1">
      <c r="A52" s="12" t="s">
        <v>106</v>
      </c>
      <c r="B52" s="18" t="s">
        <v>267</v>
      </c>
      <c r="C52" s="18" t="s">
        <v>268</v>
      </c>
      <c r="D52" s="18" t="s">
        <v>146</v>
      </c>
      <c r="E52" s="18" t="s">
        <v>155</v>
      </c>
      <c r="F52" s="18" t="s">
        <v>269</v>
      </c>
      <c r="G52" s="36">
        <v>0.47281699999999999</v>
      </c>
      <c r="H52" s="18">
        <v>16388</v>
      </c>
      <c r="I52" s="18" t="s">
        <v>148</v>
      </c>
      <c r="J52" s="18" t="s">
        <v>1021</v>
      </c>
    </row>
    <row r="53" spans="1:10" ht="66.099999999999994" customHeight="1">
      <c r="A53" s="12" t="s">
        <v>106</v>
      </c>
      <c r="B53" s="18" t="s">
        <v>270</v>
      </c>
      <c r="C53" s="18" t="s">
        <v>271</v>
      </c>
      <c r="D53" s="18" t="s">
        <v>146</v>
      </c>
      <c r="E53" s="18" t="s">
        <v>155</v>
      </c>
      <c r="F53" s="18" t="s">
        <v>272</v>
      </c>
      <c r="G53" s="36">
        <v>0.47281699999999999</v>
      </c>
      <c r="H53" s="18">
        <v>16388</v>
      </c>
      <c r="I53" s="18" t="s">
        <v>148</v>
      </c>
      <c r="J53" s="18" t="s">
        <v>1022</v>
      </c>
    </row>
    <row r="54" spans="1:10" ht="66.099999999999994" customHeight="1">
      <c r="A54" s="12" t="s">
        <v>106</v>
      </c>
      <c r="B54" s="18" t="s">
        <v>273</v>
      </c>
      <c r="C54" s="18" t="s">
        <v>274</v>
      </c>
      <c r="D54" s="18" t="s">
        <v>275</v>
      </c>
      <c r="E54" s="18" t="s">
        <v>148</v>
      </c>
      <c r="F54" s="18" t="s">
        <v>276</v>
      </c>
      <c r="G54" s="36">
        <v>0</v>
      </c>
      <c r="H54" s="18">
        <v>15808</v>
      </c>
      <c r="I54" s="18" t="s">
        <v>148</v>
      </c>
      <c r="J54" s="18" t="s">
        <v>1023</v>
      </c>
    </row>
    <row r="55" spans="1:10" ht="66.099999999999994" customHeight="1">
      <c r="A55" s="12" t="s">
        <v>112</v>
      </c>
      <c r="B55" s="18" t="s">
        <v>277</v>
      </c>
      <c r="C55" s="18" t="s">
        <v>278</v>
      </c>
      <c r="D55" s="18" t="s">
        <v>168</v>
      </c>
      <c r="E55" s="18" t="s">
        <v>148</v>
      </c>
      <c r="F55" s="18">
        <v>143737</v>
      </c>
      <c r="G55" s="18">
        <v>0</v>
      </c>
      <c r="H55" s="18">
        <v>48</v>
      </c>
      <c r="I55" s="18" t="s">
        <v>148</v>
      </c>
      <c r="J55" s="18" t="s">
        <v>861</v>
      </c>
    </row>
    <row r="56" spans="1:10" ht="66.099999999999994" customHeight="1">
      <c r="A56" s="12" t="s">
        <v>112</v>
      </c>
      <c r="B56" s="18" t="s">
        <v>149</v>
      </c>
      <c r="C56" s="18" t="s">
        <v>279</v>
      </c>
      <c r="D56" s="18" t="s">
        <v>146</v>
      </c>
      <c r="E56" s="18" t="s">
        <v>148</v>
      </c>
      <c r="F56" s="18" t="s">
        <v>280</v>
      </c>
      <c r="G56" s="18">
        <v>0</v>
      </c>
      <c r="H56" s="18" t="s">
        <v>1095</v>
      </c>
      <c r="I56" s="18" t="s">
        <v>148</v>
      </c>
      <c r="J56" s="18" t="s">
        <v>862</v>
      </c>
    </row>
    <row r="57" spans="1:10" ht="66.099999999999994" customHeight="1">
      <c r="A57" s="12" t="s">
        <v>112</v>
      </c>
      <c r="B57" s="18" t="s">
        <v>281</v>
      </c>
      <c r="C57" s="18" t="s">
        <v>282</v>
      </c>
      <c r="D57" s="18" t="s">
        <v>154</v>
      </c>
      <c r="E57" s="18" t="s">
        <v>148</v>
      </c>
      <c r="F57" s="18" t="s">
        <v>283</v>
      </c>
      <c r="G57" s="18">
        <v>0</v>
      </c>
      <c r="H57" s="18" t="s">
        <v>1095</v>
      </c>
      <c r="I57" s="18" t="s">
        <v>155</v>
      </c>
      <c r="J57" s="18" t="s">
        <v>863</v>
      </c>
    </row>
    <row r="58" spans="1:10" ht="66.099999999999994" customHeight="1">
      <c r="A58" s="12" t="s">
        <v>112</v>
      </c>
      <c r="B58" s="18" t="s">
        <v>284</v>
      </c>
      <c r="C58" s="18" t="s">
        <v>285</v>
      </c>
      <c r="D58" s="18" t="s">
        <v>286</v>
      </c>
      <c r="E58" s="18" t="s">
        <v>148</v>
      </c>
      <c r="F58" s="18">
        <v>2025</v>
      </c>
      <c r="G58" s="18">
        <v>0</v>
      </c>
      <c r="H58" s="18">
        <v>4</v>
      </c>
      <c r="I58" s="18" t="s">
        <v>148</v>
      </c>
      <c r="J58" s="18" t="s">
        <v>864</v>
      </c>
    </row>
    <row r="59" spans="1:10" ht="66.099999999999994" customHeight="1">
      <c r="A59" s="12" t="s">
        <v>112</v>
      </c>
      <c r="B59" s="18" t="s">
        <v>287</v>
      </c>
      <c r="C59" s="18" t="s">
        <v>288</v>
      </c>
      <c r="D59" s="18" t="s">
        <v>146</v>
      </c>
      <c r="E59" s="18" t="s">
        <v>148</v>
      </c>
      <c r="F59" s="18" t="s">
        <v>289</v>
      </c>
      <c r="G59" s="18">
        <v>0</v>
      </c>
      <c r="H59" s="18">
        <v>48</v>
      </c>
      <c r="I59" s="18" t="s">
        <v>148</v>
      </c>
      <c r="J59" s="18" t="s">
        <v>865</v>
      </c>
    </row>
    <row r="60" spans="1:10" ht="66.099999999999994" customHeight="1">
      <c r="A60" s="12" t="s">
        <v>112</v>
      </c>
      <c r="B60" s="18" t="s">
        <v>290</v>
      </c>
      <c r="C60" s="18" t="s">
        <v>291</v>
      </c>
      <c r="D60" s="18" t="s">
        <v>162</v>
      </c>
      <c r="E60" s="18" t="s">
        <v>148</v>
      </c>
      <c r="F60" s="18" t="s">
        <v>292</v>
      </c>
      <c r="G60" s="28">
        <v>0</v>
      </c>
      <c r="H60" s="18" t="s">
        <v>1095</v>
      </c>
      <c r="I60" s="18" t="s">
        <v>148</v>
      </c>
      <c r="J60" s="18" t="s">
        <v>866</v>
      </c>
    </row>
    <row r="61" spans="1:10" ht="66.099999999999994" customHeight="1">
      <c r="A61" s="12" t="s">
        <v>112</v>
      </c>
      <c r="B61" s="18" t="s">
        <v>293</v>
      </c>
      <c r="C61" s="18" t="s">
        <v>294</v>
      </c>
      <c r="D61" s="18" t="s">
        <v>146</v>
      </c>
      <c r="E61" s="18" t="s">
        <v>148</v>
      </c>
      <c r="F61" s="18" t="s">
        <v>295</v>
      </c>
      <c r="G61" s="28">
        <v>0</v>
      </c>
      <c r="H61" s="18" t="s">
        <v>1095</v>
      </c>
      <c r="I61" s="18" t="s">
        <v>148</v>
      </c>
      <c r="J61" s="18" t="s">
        <v>867</v>
      </c>
    </row>
    <row r="62" spans="1:10" ht="66.099999999999994" customHeight="1">
      <c r="A62" s="12" t="s">
        <v>112</v>
      </c>
      <c r="B62" s="18" t="s">
        <v>296</v>
      </c>
      <c r="C62" s="18" t="s">
        <v>297</v>
      </c>
      <c r="D62" s="18" t="s">
        <v>298</v>
      </c>
      <c r="E62" s="18" t="s">
        <v>148</v>
      </c>
      <c r="F62" s="18" t="s">
        <v>299</v>
      </c>
      <c r="G62" s="28">
        <v>0</v>
      </c>
      <c r="H62" s="18" t="s">
        <v>1095</v>
      </c>
      <c r="I62" s="18" t="s">
        <v>148</v>
      </c>
      <c r="J62" s="18" t="s">
        <v>868</v>
      </c>
    </row>
    <row r="63" spans="1:10" ht="66.099999999999994" customHeight="1">
      <c r="A63" s="12" t="s">
        <v>112</v>
      </c>
      <c r="B63" s="18" t="s">
        <v>300</v>
      </c>
      <c r="C63" s="18" t="s">
        <v>301</v>
      </c>
      <c r="D63" s="18" t="s">
        <v>298</v>
      </c>
      <c r="E63" s="18" t="s">
        <v>148</v>
      </c>
      <c r="F63" s="18" t="s">
        <v>302</v>
      </c>
      <c r="G63" s="28">
        <v>0</v>
      </c>
      <c r="H63" s="18" t="s">
        <v>1095</v>
      </c>
      <c r="I63" s="18" t="s">
        <v>148</v>
      </c>
      <c r="J63" s="18" t="s">
        <v>869</v>
      </c>
    </row>
    <row r="64" spans="1:10" ht="66.099999999999994" customHeight="1">
      <c r="A64" s="12" t="s">
        <v>112</v>
      </c>
      <c r="B64" s="18" t="s">
        <v>303</v>
      </c>
      <c r="C64" s="18" t="s">
        <v>304</v>
      </c>
      <c r="D64" s="18" t="s">
        <v>146</v>
      </c>
      <c r="E64" s="18" t="s">
        <v>148</v>
      </c>
      <c r="F64" s="18" t="s">
        <v>305</v>
      </c>
      <c r="G64" s="28">
        <v>0</v>
      </c>
      <c r="H64" s="18" t="s">
        <v>1095</v>
      </c>
      <c r="I64" s="18" t="s">
        <v>148</v>
      </c>
      <c r="J64" s="18" t="s">
        <v>870</v>
      </c>
    </row>
    <row r="65" spans="1:10" ht="66.099999999999994" customHeight="1">
      <c r="A65" s="12" t="s">
        <v>112</v>
      </c>
      <c r="B65" s="18" t="s">
        <v>219</v>
      </c>
      <c r="C65" s="18" t="s">
        <v>306</v>
      </c>
      <c r="D65" s="18" t="s">
        <v>146</v>
      </c>
      <c r="E65" s="18" t="s">
        <v>148</v>
      </c>
      <c r="F65" s="18" t="s">
        <v>307</v>
      </c>
      <c r="G65" s="28">
        <v>0</v>
      </c>
      <c r="H65" s="18" t="s">
        <v>1095</v>
      </c>
      <c r="I65" s="18" t="s">
        <v>148</v>
      </c>
      <c r="J65" s="18" t="s">
        <v>871</v>
      </c>
    </row>
    <row r="66" spans="1:10" ht="66.099999999999994" customHeight="1">
      <c r="A66" s="12" t="s">
        <v>112</v>
      </c>
      <c r="B66" s="18" t="s">
        <v>308</v>
      </c>
      <c r="C66" s="18" t="s">
        <v>309</v>
      </c>
      <c r="D66" s="18" t="s">
        <v>154</v>
      </c>
      <c r="E66" s="18" t="s">
        <v>155</v>
      </c>
      <c r="F66" s="18" t="s">
        <v>310</v>
      </c>
      <c r="G66" s="28" t="s">
        <v>311</v>
      </c>
      <c r="H66" s="18" t="s">
        <v>1095</v>
      </c>
      <c r="I66" s="18" t="s">
        <v>155</v>
      </c>
      <c r="J66" s="18" t="s">
        <v>872</v>
      </c>
    </row>
    <row r="67" spans="1:10" ht="66.099999999999994" customHeight="1">
      <c r="A67" s="12" t="s">
        <v>112</v>
      </c>
      <c r="B67" s="18" t="s">
        <v>312</v>
      </c>
      <c r="C67" s="18" t="s">
        <v>313</v>
      </c>
      <c r="D67" s="18" t="s">
        <v>146</v>
      </c>
      <c r="E67" s="18" t="s">
        <v>155</v>
      </c>
      <c r="F67" s="18" t="s">
        <v>314</v>
      </c>
      <c r="G67" s="28" t="s">
        <v>315</v>
      </c>
      <c r="H67" s="18" t="s">
        <v>1095</v>
      </c>
      <c r="I67" s="18" t="s">
        <v>155</v>
      </c>
      <c r="J67" s="18" t="s">
        <v>873</v>
      </c>
    </row>
    <row r="68" spans="1:10" ht="66.099999999999994" customHeight="1">
      <c r="A68" s="12" t="s">
        <v>112</v>
      </c>
      <c r="B68" s="18" t="s">
        <v>316</v>
      </c>
      <c r="C68" s="18" t="s">
        <v>317</v>
      </c>
      <c r="D68" s="18" t="s">
        <v>298</v>
      </c>
      <c r="E68" s="18" t="s">
        <v>155</v>
      </c>
      <c r="F68" s="18" t="s">
        <v>318</v>
      </c>
      <c r="G68" s="28" t="s">
        <v>319</v>
      </c>
      <c r="H68" s="18" t="s">
        <v>1095</v>
      </c>
      <c r="I68" s="18" t="s">
        <v>148</v>
      </c>
      <c r="J68" s="18" t="s">
        <v>874</v>
      </c>
    </row>
    <row r="69" spans="1:10" ht="66.099999999999994" customHeight="1">
      <c r="A69" s="12" t="s">
        <v>117</v>
      </c>
      <c r="B69" s="18" t="s">
        <v>320</v>
      </c>
      <c r="C69" s="18" t="s">
        <v>321</v>
      </c>
      <c r="D69" s="18" t="s">
        <v>146</v>
      </c>
      <c r="E69" s="18" t="s">
        <v>190</v>
      </c>
      <c r="F69" s="18" t="s">
        <v>322</v>
      </c>
      <c r="G69" s="28">
        <v>0</v>
      </c>
      <c r="H69" s="18">
        <v>400</v>
      </c>
      <c r="I69" s="18" t="s">
        <v>148</v>
      </c>
      <c r="J69" s="18" t="s">
        <v>999</v>
      </c>
    </row>
    <row r="70" spans="1:10" ht="66.099999999999994" customHeight="1">
      <c r="A70" s="12" t="s">
        <v>117</v>
      </c>
      <c r="B70" s="18" t="s">
        <v>875</v>
      </c>
      <c r="C70" s="18" t="s">
        <v>323</v>
      </c>
      <c r="D70" s="18" t="s">
        <v>146</v>
      </c>
      <c r="E70" s="18" t="s">
        <v>190</v>
      </c>
      <c r="F70" s="18" t="s">
        <v>324</v>
      </c>
      <c r="G70" s="28">
        <v>0</v>
      </c>
      <c r="H70" s="18">
        <v>399</v>
      </c>
      <c r="I70" s="18" t="s">
        <v>148</v>
      </c>
      <c r="J70" s="18" t="s">
        <v>1000</v>
      </c>
    </row>
    <row r="71" spans="1:10" ht="66.099999999999994" customHeight="1">
      <c r="A71" s="12" t="s">
        <v>117</v>
      </c>
      <c r="B71" s="18" t="s">
        <v>325</v>
      </c>
      <c r="C71" s="18" t="s">
        <v>326</v>
      </c>
      <c r="D71" s="18" t="s">
        <v>327</v>
      </c>
      <c r="E71" s="18" t="s">
        <v>190</v>
      </c>
      <c r="F71" s="18" t="s">
        <v>328</v>
      </c>
      <c r="G71" s="28">
        <v>0</v>
      </c>
      <c r="H71" s="18">
        <v>395</v>
      </c>
      <c r="I71" s="18" t="s">
        <v>155</v>
      </c>
      <c r="J71" s="18" t="s">
        <v>1001</v>
      </c>
    </row>
    <row r="72" spans="1:10" ht="66.099999999999994" customHeight="1">
      <c r="A72" s="12" t="s">
        <v>117</v>
      </c>
      <c r="B72" s="18" t="s">
        <v>329</v>
      </c>
      <c r="C72" s="18" t="s">
        <v>330</v>
      </c>
      <c r="D72" s="18" t="s">
        <v>327</v>
      </c>
      <c r="E72" s="18" t="s">
        <v>190</v>
      </c>
      <c r="F72" s="18" t="s">
        <v>331</v>
      </c>
      <c r="G72" s="28">
        <v>0</v>
      </c>
      <c r="H72" s="18">
        <v>173</v>
      </c>
      <c r="I72" s="18" t="s">
        <v>148</v>
      </c>
      <c r="J72" s="18" t="s">
        <v>1002</v>
      </c>
    </row>
    <row r="73" spans="1:10" ht="66.099999999999994" customHeight="1">
      <c r="A73" s="12" t="s">
        <v>117</v>
      </c>
      <c r="B73" s="18" t="s">
        <v>332</v>
      </c>
      <c r="C73" s="18" t="s">
        <v>333</v>
      </c>
      <c r="D73" s="18" t="s">
        <v>146</v>
      </c>
      <c r="E73" s="18" t="s">
        <v>190</v>
      </c>
      <c r="F73" s="18">
        <v>45789</v>
      </c>
      <c r="G73" s="28">
        <v>0</v>
      </c>
      <c r="H73" s="18">
        <v>127</v>
      </c>
      <c r="I73" s="18" t="s">
        <v>148</v>
      </c>
      <c r="J73" s="18" t="s">
        <v>1003</v>
      </c>
    </row>
    <row r="74" spans="1:10" ht="66.099999999999994" customHeight="1">
      <c r="A74" s="12" t="s">
        <v>117</v>
      </c>
      <c r="B74" s="18" t="s">
        <v>160</v>
      </c>
      <c r="C74" s="18" t="s">
        <v>259</v>
      </c>
      <c r="D74" s="18" t="s">
        <v>162</v>
      </c>
      <c r="E74" s="18" t="s">
        <v>155</v>
      </c>
      <c r="F74" s="18" t="s">
        <v>334</v>
      </c>
      <c r="G74" s="28">
        <v>1.4999999999999999E-2</v>
      </c>
      <c r="H74" s="18">
        <v>394</v>
      </c>
      <c r="I74" s="18" t="s">
        <v>148</v>
      </c>
      <c r="J74" s="18" t="s">
        <v>1004</v>
      </c>
    </row>
    <row r="75" spans="1:10" ht="66.099999999999994" customHeight="1">
      <c r="A75" s="12" t="s">
        <v>117</v>
      </c>
      <c r="B75" s="18" t="s">
        <v>876</v>
      </c>
      <c r="C75" s="18" t="s">
        <v>335</v>
      </c>
      <c r="D75" s="18" t="s">
        <v>146</v>
      </c>
      <c r="E75" s="18" t="s">
        <v>155</v>
      </c>
      <c r="F75" s="18" t="s">
        <v>336</v>
      </c>
      <c r="G75" s="28">
        <v>7.4999999999999997E-3</v>
      </c>
      <c r="H75" s="18">
        <v>251</v>
      </c>
      <c r="I75" s="18" t="s">
        <v>148</v>
      </c>
      <c r="J75" s="18" t="s">
        <v>1005</v>
      </c>
    </row>
    <row r="76" spans="1:10" ht="66.099999999999994" customHeight="1">
      <c r="A76" s="12" t="s">
        <v>117</v>
      </c>
      <c r="B76" s="18" t="s">
        <v>214</v>
      </c>
      <c r="C76" s="18" t="s">
        <v>208</v>
      </c>
      <c r="D76" s="18" t="s">
        <v>146</v>
      </c>
      <c r="E76" s="18" t="s">
        <v>155</v>
      </c>
      <c r="F76" s="18" t="s">
        <v>337</v>
      </c>
      <c r="G76" s="28">
        <v>1.4999999999999999E-2</v>
      </c>
      <c r="H76" s="18">
        <v>394</v>
      </c>
      <c r="I76" s="18" t="s">
        <v>148</v>
      </c>
      <c r="J76" s="18" t="s">
        <v>1006</v>
      </c>
    </row>
    <row r="77" spans="1:10" ht="66.099999999999994" customHeight="1">
      <c r="A77" s="12" t="s">
        <v>117</v>
      </c>
      <c r="B77" s="18" t="s">
        <v>338</v>
      </c>
      <c r="C77" s="18" t="s">
        <v>339</v>
      </c>
      <c r="D77" s="18" t="s">
        <v>146</v>
      </c>
      <c r="E77" s="18" t="s">
        <v>190</v>
      </c>
      <c r="F77" s="18" t="s">
        <v>340</v>
      </c>
      <c r="G77" s="28">
        <v>0</v>
      </c>
      <c r="H77" s="18">
        <v>400</v>
      </c>
      <c r="I77" s="18" t="s">
        <v>148</v>
      </c>
      <c r="J77" s="18" t="s">
        <v>1007</v>
      </c>
    </row>
    <row r="78" spans="1:10" ht="66.099999999999994" customHeight="1">
      <c r="A78" s="12" t="s">
        <v>117</v>
      </c>
      <c r="B78" s="18" t="s">
        <v>341</v>
      </c>
      <c r="C78" s="18" t="s">
        <v>342</v>
      </c>
      <c r="D78" s="18" t="s">
        <v>146</v>
      </c>
      <c r="E78" s="18" t="s">
        <v>190</v>
      </c>
      <c r="F78" s="18" t="s">
        <v>199</v>
      </c>
      <c r="G78" s="28">
        <v>0</v>
      </c>
      <c r="H78" s="18">
        <v>10</v>
      </c>
      <c r="I78" s="18" t="s">
        <v>148</v>
      </c>
      <c r="J78" s="18" t="s">
        <v>1008</v>
      </c>
    </row>
    <row r="79" spans="1:10" ht="66.099999999999994" customHeight="1">
      <c r="A79" s="12" t="s">
        <v>117</v>
      </c>
      <c r="B79" s="18" t="s">
        <v>343</v>
      </c>
      <c r="C79" s="18" t="s">
        <v>344</v>
      </c>
      <c r="D79" s="18" t="s">
        <v>327</v>
      </c>
      <c r="E79" s="18" t="s">
        <v>155</v>
      </c>
      <c r="F79" s="18" t="s">
        <v>345</v>
      </c>
      <c r="G79" s="28">
        <v>0.505</v>
      </c>
      <c r="H79" s="18">
        <v>55</v>
      </c>
      <c r="I79" s="18" t="s">
        <v>148</v>
      </c>
      <c r="J79" s="18" t="s">
        <v>1009</v>
      </c>
    </row>
    <row r="80" spans="1:10" ht="66.099999999999994" customHeight="1">
      <c r="A80" s="12" t="s">
        <v>346</v>
      </c>
      <c r="B80" s="18" t="s">
        <v>210</v>
      </c>
      <c r="C80" s="18" t="s">
        <v>347</v>
      </c>
      <c r="D80" s="18" t="s">
        <v>146</v>
      </c>
      <c r="E80" s="18" t="s">
        <v>148</v>
      </c>
      <c r="F80" s="18" t="s">
        <v>348</v>
      </c>
      <c r="G80" s="18">
        <v>0</v>
      </c>
      <c r="H80" s="18">
        <v>5529</v>
      </c>
      <c r="I80" s="18" t="s">
        <v>148</v>
      </c>
      <c r="J80" s="18" t="s">
        <v>990</v>
      </c>
    </row>
    <row r="81" spans="1:16" ht="66.099999999999994" customHeight="1">
      <c r="A81" s="12" t="s">
        <v>346</v>
      </c>
      <c r="B81" s="18" t="s">
        <v>149</v>
      </c>
      <c r="C81" s="18" t="s">
        <v>212</v>
      </c>
      <c r="D81" s="18" t="s">
        <v>146</v>
      </c>
      <c r="E81" s="18" t="s">
        <v>148</v>
      </c>
      <c r="F81" s="18" t="s">
        <v>349</v>
      </c>
      <c r="G81" s="18">
        <v>0</v>
      </c>
      <c r="H81" s="18">
        <v>5463</v>
      </c>
      <c r="I81" s="18" t="s">
        <v>148</v>
      </c>
      <c r="J81" s="18" t="s">
        <v>991</v>
      </c>
    </row>
    <row r="82" spans="1:16" ht="66.099999999999994" customHeight="1">
      <c r="A82" s="12" t="s">
        <v>346</v>
      </c>
      <c r="B82" s="18" t="s">
        <v>214</v>
      </c>
      <c r="C82" s="18" t="s">
        <v>208</v>
      </c>
      <c r="D82" s="18" t="s">
        <v>146</v>
      </c>
      <c r="E82" s="18" t="s">
        <v>350</v>
      </c>
      <c r="F82" s="18" t="s">
        <v>351</v>
      </c>
      <c r="G82" s="18">
        <v>0</v>
      </c>
      <c r="H82" s="18">
        <v>5529</v>
      </c>
      <c r="I82" s="18" t="s">
        <v>148</v>
      </c>
      <c r="J82" s="18" t="s">
        <v>992</v>
      </c>
    </row>
    <row r="83" spans="1:16" ht="66.099999999999994" customHeight="1">
      <c r="A83" s="12" t="s">
        <v>346</v>
      </c>
      <c r="B83" s="18" t="s">
        <v>352</v>
      </c>
      <c r="C83" s="18" t="s">
        <v>353</v>
      </c>
      <c r="D83" s="18" t="s">
        <v>168</v>
      </c>
      <c r="E83" s="18" t="s">
        <v>148</v>
      </c>
      <c r="F83" s="18">
        <v>2025</v>
      </c>
      <c r="G83" s="18">
        <v>0</v>
      </c>
      <c r="H83" s="18">
        <v>4</v>
      </c>
      <c r="I83" s="18" t="s">
        <v>148</v>
      </c>
      <c r="J83" s="18" t="s">
        <v>993</v>
      </c>
    </row>
    <row r="84" spans="1:16" ht="66.099999999999994" customHeight="1">
      <c r="A84" s="12" t="s">
        <v>346</v>
      </c>
      <c r="B84" s="18" t="s">
        <v>216</v>
      </c>
      <c r="C84" s="18" t="s">
        <v>354</v>
      </c>
      <c r="D84" s="18" t="s">
        <v>218</v>
      </c>
      <c r="E84" s="18" t="s">
        <v>155</v>
      </c>
      <c r="F84" s="18">
        <v>45658</v>
      </c>
      <c r="G84" s="18">
        <v>0</v>
      </c>
      <c r="H84" s="18">
        <v>1219</v>
      </c>
      <c r="I84" s="18" t="s">
        <v>148</v>
      </c>
      <c r="J84" s="18" t="s">
        <v>994</v>
      </c>
    </row>
    <row r="85" spans="1:16" ht="66.099999999999994" customHeight="1">
      <c r="A85" s="12" t="s">
        <v>346</v>
      </c>
      <c r="B85" s="18" t="s">
        <v>225</v>
      </c>
      <c r="C85" s="18" t="s">
        <v>355</v>
      </c>
      <c r="D85" s="18" t="s">
        <v>154</v>
      </c>
      <c r="E85" s="18" t="s">
        <v>155</v>
      </c>
      <c r="F85" s="18" t="s">
        <v>356</v>
      </c>
      <c r="G85" s="18">
        <v>0</v>
      </c>
      <c r="H85" s="18">
        <v>5455</v>
      </c>
      <c r="I85" s="18" t="s">
        <v>155</v>
      </c>
      <c r="J85" s="18" t="s">
        <v>995</v>
      </c>
    </row>
    <row r="86" spans="1:16" ht="66.099999999999994" customHeight="1">
      <c r="A86" s="12" t="s">
        <v>346</v>
      </c>
      <c r="B86" s="18" t="s">
        <v>229</v>
      </c>
      <c r="C86" s="18" t="s">
        <v>357</v>
      </c>
      <c r="D86" s="18" t="s">
        <v>166</v>
      </c>
      <c r="E86" s="18" t="s">
        <v>155</v>
      </c>
      <c r="F86" s="18" t="s">
        <v>358</v>
      </c>
      <c r="G86" s="35">
        <v>0.18240000000000001</v>
      </c>
      <c r="H86" s="18">
        <v>4469</v>
      </c>
      <c r="I86" s="18" t="s">
        <v>148</v>
      </c>
      <c r="J86" s="18" t="s">
        <v>996</v>
      </c>
    </row>
    <row r="87" spans="1:16" ht="66.099999999999994" customHeight="1">
      <c r="A87" s="12" t="s">
        <v>346</v>
      </c>
      <c r="B87" s="18" t="s">
        <v>877</v>
      </c>
      <c r="C87" s="18" t="s">
        <v>359</v>
      </c>
      <c r="D87" s="18" t="s">
        <v>146</v>
      </c>
      <c r="E87" s="18" t="s">
        <v>155</v>
      </c>
      <c r="F87" s="18" t="s">
        <v>360</v>
      </c>
      <c r="G87" s="35">
        <v>7.1900000000000006E-2</v>
      </c>
      <c r="H87" s="18">
        <v>1242</v>
      </c>
      <c r="I87" s="18" t="s">
        <v>148</v>
      </c>
      <c r="J87" s="18" t="s">
        <v>997</v>
      </c>
    </row>
    <row r="88" spans="1:16" ht="66.099999999999994" customHeight="1">
      <c r="A88" s="12" t="s">
        <v>346</v>
      </c>
      <c r="B88" s="18" t="s">
        <v>878</v>
      </c>
      <c r="C88" s="18" t="s">
        <v>361</v>
      </c>
      <c r="D88" s="18" t="s">
        <v>146</v>
      </c>
      <c r="E88" s="18" t="s">
        <v>155</v>
      </c>
      <c r="F88" s="18" t="s">
        <v>362</v>
      </c>
      <c r="G88" s="18">
        <v>0</v>
      </c>
      <c r="H88" s="18">
        <v>1</v>
      </c>
      <c r="I88" s="18" t="s">
        <v>148</v>
      </c>
      <c r="J88" s="18" t="s">
        <v>998</v>
      </c>
    </row>
    <row r="89" spans="1:16" ht="66.099999999999994" customHeight="1">
      <c r="A89" s="12" t="s">
        <v>106</v>
      </c>
      <c r="B89" s="18" t="s">
        <v>74</v>
      </c>
      <c r="C89" s="18" t="s">
        <v>1091</v>
      </c>
      <c r="D89" s="18" t="s">
        <v>146</v>
      </c>
      <c r="E89" s="18" t="s">
        <v>155</v>
      </c>
      <c r="F89" s="18"/>
      <c r="G89" s="28">
        <v>5.1500000000000005E-4</v>
      </c>
      <c r="H89" s="18">
        <v>30</v>
      </c>
      <c r="I89" s="18" t="s">
        <v>148</v>
      </c>
      <c r="J89" s="18" t="s">
        <v>1092</v>
      </c>
    </row>
    <row r="90" spans="1:16" ht="66.099999999999994" customHeight="1">
      <c r="A90" s="12"/>
      <c r="B90" s="18"/>
      <c r="C90" s="18"/>
      <c r="D90" s="18"/>
      <c r="E90" s="18"/>
      <c r="F90" s="18"/>
      <c r="G90" s="18"/>
      <c r="H90" s="18"/>
      <c r="I90" s="18"/>
      <c r="J90" s="18"/>
    </row>
    <row r="91" spans="1:16">
      <c r="A91" s="11"/>
      <c r="B91" s="18"/>
      <c r="C91" s="18"/>
      <c r="D91" s="18"/>
      <c r="E91" s="18"/>
      <c r="F91" s="18"/>
      <c r="G91" s="18"/>
      <c r="H91" s="18"/>
      <c r="I91" s="18"/>
      <c r="J91" s="18"/>
      <c r="K91" s="9"/>
      <c r="L91" s="9"/>
      <c r="M91" s="9"/>
      <c r="N91" s="9"/>
      <c r="O91" s="9"/>
      <c r="P91" s="9"/>
    </row>
  </sheetData>
  <mergeCells count="2">
    <mergeCell ref="A1:C1"/>
    <mergeCell ref="A2:K2"/>
  </mergeCells>
  <hyperlinks>
    <hyperlink ref="F50" r:id="rId1" xr:uid="{00000000-0004-0000-0300-000001000000}"/>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5C8A"/>
  </sheetPr>
  <dimension ref="A1:K22"/>
  <sheetViews>
    <sheetView zoomScale="70" zoomScaleNormal="70" workbookViewId="0">
      <pane ySplit="3" topLeftCell="A4" activePane="bottomLeft" state="frozen"/>
      <selection pane="bottomLeft" activeCell="A4" sqref="A4"/>
    </sheetView>
  </sheetViews>
  <sheetFormatPr defaultRowHeight="14.25"/>
  <cols>
    <col min="1" max="1" width="10" customWidth="1"/>
    <col min="2" max="2" width="13.06640625" customWidth="1"/>
    <col min="3" max="3" width="20" customWidth="1"/>
    <col min="4" max="4" width="36" customWidth="1"/>
    <col min="5" max="5" width="40" customWidth="1"/>
    <col min="6" max="6" width="20" customWidth="1"/>
    <col min="7" max="7" width="24" customWidth="1"/>
    <col min="8" max="8" width="33.1328125" customWidth="1"/>
    <col min="9" max="9" width="24" customWidth="1"/>
    <col min="10" max="10" width="38" customWidth="1"/>
  </cols>
  <sheetData>
    <row r="1" spans="1:11" ht="18.75">
      <c r="A1" s="41" t="s">
        <v>879</v>
      </c>
      <c r="B1" s="41"/>
      <c r="C1" s="41"/>
    </row>
    <row r="2" spans="1:11" ht="14.45" customHeight="1">
      <c r="A2" s="46" t="s">
        <v>363</v>
      </c>
      <c r="B2" s="43"/>
      <c r="C2" s="43"/>
      <c r="D2" s="43"/>
      <c r="E2" s="43"/>
      <c r="F2" s="43"/>
      <c r="G2" s="43"/>
      <c r="H2" s="43"/>
      <c r="I2" s="43"/>
      <c r="J2" s="43"/>
    </row>
    <row r="3" spans="1:11" ht="24" customHeight="1">
      <c r="A3" s="8" t="s">
        <v>364</v>
      </c>
      <c r="B3" s="8" t="s">
        <v>134</v>
      </c>
      <c r="C3" s="8" t="s">
        <v>365</v>
      </c>
      <c r="D3" s="8" t="s">
        <v>366</v>
      </c>
      <c r="E3" s="8" t="s">
        <v>367</v>
      </c>
      <c r="F3" s="8" t="s">
        <v>368</v>
      </c>
      <c r="G3" s="8" t="s">
        <v>369</v>
      </c>
      <c r="H3" s="8" t="s">
        <v>370</v>
      </c>
      <c r="I3" s="8" t="s">
        <v>371</v>
      </c>
      <c r="J3" s="8" t="s">
        <v>372</v>
      </c>
    </row>
    <row r="4" spans="1:11" ht="115.15" customHeight="1">
      <c r="A4" s="19" t="s">
        <v>373</v>
      </c>
      <c r="B4" s="20" t="s">
        <v>880</v>
      </c>
      <c r="C4" s="20" t="s">
        <v>374</v>
      </c>
      <c r="D4" s="20" t="s">
        <v>881</v>
      </c>
      <c r="E4" s="20" t="s">
        <v>882</v>
      </c>
      <c r="F4" s="20" t="s">
        <v>375</v>
      </c>
      <c r="G4" s="20" t="s">
        <v>376</v>
      </c>
      <c r="H4" s="22" t="s">
        <v>377</v>
      </c>
      <c r="I4" s="20" t="s">
        <v>378</v>
      </c>
      <c r="J4" s="20" t="s">
        <v>883</v>
      </c>
      <c r="K4" s="20"/>
    </row>
    <row r="5" spans="1:11" ht="115.15" customHeight="1">
      <c r="A5" s="19" t="s">
        <v>379</v>
      </c>
      <c r="B5" s="20" t="s">
        <v>106</v>
      </c>
      <c r="C5" s="20" t="s">
        <v>352</v>
      </c>
      <c r="D5" s="20" t="s">
        <v>380</v>
      </c>
      <c r="E5" s="20" t="s">
        <v>381</v>
      </c>
      <c r="F5" s="20" t="s">
        <v>382</v>
      </c>
      <c r="G5" s="20" t="s">
        <v>383</v>
      </c>
      <c r="H5" s="22" t="s">
        <v>384</v>
      </c>
      <c r="I5" s="20" t="s">
        <v>385</v>
      </c>
      <c r="J5" s="20" t="s">
        <v>386</v>
      </c>
      <c r="K5" s="20"/>
    </row>
    <row r="6" spans="1:11" ht="115.15" customHeight="1">
      <c r="A6" s="19" t="s">
        <v>387</v>
      </c>
      <c r="B6" s="20" t="s">
        <v>83</v>
      </c>
      <c r="C6" s="20" t="s">
        <v>352</v>
      </c>
      <c r="D6" s="20" t="s">
        <v>388</v>
      </c>
      <c r="E6" s="20" t="s">
        <v>389</v>
      </c>
      <c r="F6" s="20" t="s">
        <v>390</v>
      </c>
      <c r="G6" s="20" t="s">
        <v>391</v>
      </c>
      <c r="H6" s="22" t="s">
        <v>392</v>
      </c>
      <c r="I6" s="20" t="s">
        <v>393</v>
      </c>
      <c r="J6" s="20" t="s">
        <v>394</v>
      </c>
      <c r="K6" s="20"/>
    </row>
    <row r="7" spans="1:11" ht="115.15" customHeight="1">
      <c r="A7" s="19" t="s">
        <v>395</v>
      </c>
      <c r="B7" s="20" t="s">
        <v>117</v>
      </c>
      <c r="C7" s="20" t="s">
        <v>352</v>
      </c>
      <c r="D7" s="20" t="s">
        <v>396</v>
      </c>
      <c r="E7" s="20" t="s">
        <v>397</v>
      </c>
      <c r="F7" s="20" t="s">
        <v>382</v>
      </c>
      <c r="G7" s="20" t="s">
        <v>884</v>
      </c>
      <c r="H7" s="22" t="s">
        <v>885</v>
      </c>
      <c r="I7" s="20" t="s">
        <v>385</v>
      </c>
      <c r="J7" s="20" t="s">
        <v>1024</v>
      </c>
      <c r="K7" s="20"/>
    </row>
    <row r="8" spans="1:11" ht="115.15" customHeight="1">
      <c r="A8" s="19" t="s">
        <v>398</v>
      </c>
      <c r="B8" s="20" t="s">
        <v>880</v>
      </c>
      <c r="C8" s="20" t="s">
        <v>338</v>
      </c>
      <c r="D8" s="20" t="s">
        <v>1025</v>
      </c>
      <c r="E8" s="20" t="s">
        <v>886</v>
      </c>
      <c r="F8" s="20" t="s">
        <v>399</v>
      </c>
      <c r="G8" s="20" t="s">
        <v>376</v>
      </c>
      <c r="H8" s="22" t="s">
        <v>377</v>
      </c>
      <c r="I8" s="20" t="s">
        <v>887</v>
      </c>
      <c r="J8" s="20" t="s">
        <v>888</v>
      </c>
      <c r="K8" s="20"/>
    </row>
    <row r="9" spans="1:11" ht="115.15" customHeight="1">
      <c r="A9" s="19" t="s">
        <v>400</v>
      </c>
      <c r="B9" s="20" t="s">
        <v>880</v>
      </c>
      <c r="C9" s="20" t="s">
        <v>214</v>
      </c>
      <c r="D9" s="20" t="s">
        <v>401</v>
      </c>
      <c r="E9" s="20" t="s">
        <v>402</v>
      </c>
      <c r="F9" s="20" t="s">
        <v>399</v>
      </c>
      <c r="G9" s="20" t="s">
        <v>376</v>
      </c>
      <c r="H9" s="22" t="s">
        <v>377</v>
      </c>
      <c r="I9" s="20" t="s">
        <v>887</v>
      </c>
      <c r="J9" s="20" t="s">
        <v>888</v>
      </c>
      <c r="K9" s="20"/>
    </row>
    <row r="10" spans="1:11" ht="115.15" customHeight="1">
      <c r="A10" s="19" t="s">
        <v>403</v>
      </c>
      <c r="B10" s="20" t="s">
        <v>880</v>
      </c>
      <c r="C10" s="20" t="s">
        <v>216</v>
      </c>
      <c r="D10" s="20" t="s">
        <v>404</v>
      </c>
      <c r="E10" s="20" t="s">
        <v>405</v>
      </c>
      <c r="F10" s="20" t="s">
        <v>406</v>
      </c>
      <c r="G10" s="20" t="s">
        <v>376</v>
      </c>
      <c r="H10" s="22" t="s">
        <v>377</v>
      </c>
      <c r="I10" s="20" t="s">
        <v>378</v>
      </c>
      <c r="J10" s="20" t="s">
        <v>888</v>
      </c>
      <c r="K10" s="20"/>
    </row>
    <row r="11" spans="1:11" ht="115.15" customHeight="1">
      <c r="A11" s="19" t="s">
        <v>407</v>
      </c>
      <c r="B11" s="20" t="s">
        <v>880</v>
      </c>
      <c r="C11" s="20" t="s">
        <v>408</v>
      </c>
      <c r="D11" s="20" t="s">
        <v>409</v>
      </c>
      <c r="E11" s="20" t="s">
        <v>410</v>
      </c>
      <c r="F11" s="20" t="s">
        <v>411</v>
      </c>
      <c r="G11" s="20" t="s">
        <v>376</v>
      </c>
      <c r="H11" s="22" t="s">
        <v>377</v>
      </c>
      <c r="I11" s="20" t="s">
        <v>887</v>
      </c>
      <c r="J11" s="20" t="s">
        <v>889</v>
      </c>
      <c r="K11" s="20"/>
    </row>
    <row r="12" spans="1:11" ht="115.15" customHeight="1">
      <c r="A12" s="19" t="s">
        <v>412</v>
      </c>
      <c r="B12" s="20" t="s">
        <v>413</v>
      </c>
      <c r="C12" s="20" t="s">
        <v>414</v>
      </c>
      <c r="D12" s="20" t="s">
        <v>415</v>
      </c>
      <c r="E12" s="20" t="s">
        <v>416</v>
      </c>
      <c r="F12" s="20" t="s">
        <v>417</v>
      </c>
      <c r="G12" s="20" t="s">
        <v>418</v>
      </c>
      <c r="H12" s="22" t="s">
        <v>419</v>
      </c>
      <c r="I12" s="20" t="s">
        <v>420</v>
      </c>
      <c r="J12" s="20" t="s">
        <v>421</v>
      </c>
      <c r="K12" s="20"/>
    </row>
    <row r="13" spans="1:11" ht="115.15" customHeight="1">
      <c r="A13" s="19" t="s">
        <v>422</v>
      </c>
      <c r="B13" s="20" t="s">
        <v>117</v>
      </c>
      <c r="C13" s="20" t="s">
        <v>414</v>
      </c>
      <c r="D13" s="20" t="s">
        <v>423</v>
      </c>
      <c r="E13" s="20" t="s">
        <v>424</v>
      </c>
      <c r="F13" s="20" t="s">
        <v>425</v>
      </c>
      <c r="G13" s="20" t="s">
        <v>426</v>
      </c>
      <c r="H13" s="22" t="s">
        <v>427</v>
      </c>
      <c r="I13" s="20" t="s">
        <v>428</v>
      </c>
      <c r="J13" s="20" t="s">
        <v>429</v>
      </c>
      <c r="K13" s="20"/>
    </row>
    <row r="14" spans="1:11">
      <c r="A14" s="1"/>
      <c r="B14" s="1"/>
      <c r="C14" s="1"/>
      <c r="D14" s="1"/>
      <c r="E14" s="1"/>
      <c r="F14" s="1"/>
      <c r="G14" s="1"/>
      <c r="H14" s="1"/>
      <c r="I14" s="1"/>
      <c r="J14" s="1"/>
    </row>
    <row r="15" spans="1:11">
      <c r="A15" s="1"/>
      <c r="B15" s="1"/>
      <c r="C15" s="1"/>
      <c r="D15" s="1"/>
      <c r="E15" s="1"/>
      <c r="F15" s="1"/>
      <c r="G15" s="1"/>
      <c r="H15" s="1"/>
      <c r="I15" s="1"/>
      <c r="J15" s="1"/>
    </row>
    <row r="16" spans="1:11">
      <c r="A16" s="1"/>
      <c r="B16" s="1"/>
      <c r="C16" s="1"/>
      <c r="D16" s="1"/>
      <c r="E16" s="1"/>
      <c r="F16" s="1"/>
      <c r="G16" s="1"/>
      <c r="H16" s="1"/>
      <c r="I16" s="1"/>
      <c r="J16" s="1"/>
    </row>
    <row r="17" spans="1:10">
      <c r="A17" s="1"/>
      <c r="B17" s="1"/>
      <c r="C17" s="1"/>
      <c r="D17" s="1"/>
      <c r="E17" s="1"/>
      <c r="F17" s="1"/>
      <c r="G17" s="1"/>
      <c r="H17" s="1"/>
      <c r="I17" s="1"/>
      <c r="J17" s="1"/>
    </row>
    <row r="18" spans="1:10">
      <c r="A18" s="1"/>
      <c r="B18" s="1"/>
      <c r="C18" s="1"/>
      <c r="D18" s="1"/>
      <c r="E18" s="1"/>
      <c r="F18" s="1"/>
      <c r="G18" s="1"/>
      <c r="H18" s="1"/>
      <c r="I18" s="1"/>
      <c r="J18" s="1"/>
    </row>
    <row r="19" spans="1:10">
      <c r="A19" s="1"/>
      <c r="B19" s="1"/>
      <c r="C19" s="1"/>
      <c r="D19" s="1"/>
      <c r="E19" s="1"/>
      <c r="F19" s="1"/>
      <c r="G19" s="1"/>
      <c r="H19" s="1"/>
      <c r="I19" s="1"/>
      <c r="J19" s="1"/>
    </row>
    <row r="20" spans="1:10">
      <c r="A20" s="1"/>
      <c r="B20" s="1"/>
      <c r="C20" s="1"/>
      <c r="D20" s="1"/>
      <c r="E20" s="1"/>
      <c r="F20" s="1"/>
      <c r="G20" s="1"/>
      <c r="H20" s="1"/>
      <c r="I20" s="1"/>
      <c r="J20" s="1"/>
    </row>
    <row r="21" spans="1:10">
      <c r="A21" s="1"/>
      <c r="B21" s="1"/>
      <c r="C21" s="1"/>
      <c r="D21" s="1"/>
      <c r="E21" s="1"/>
      <c r="F21" s="1"/>
      <c r="G21" s="1"/>
      <c r="H21" s="1"/>
      <c r="I21" s="1"/>
      <c r="J21" s="1"/>
    </row>
    <row r="22" spans="1:10">
      <c r="A22" s="1"/>
      <c r="B22" s="1"/>
      <c r="C22" s="1"/>
      <c r="D22" s="1"/>
      <c r="E22" s="1"/>
      <c r="F22" s="1"/>
      <c r="G22" s="1"/>
      <c r="H22" s="1"/>
      <c r="I22" s="1"/>
      <c r="J22" s="1"/>
    </row>
  </sheetData>
  <mergeCells count="2">
    <mergeCell ref="A2:J2"/>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5C8A"/>
  </sheetPr>
  <dimension ref="A1:K24"/>
  <sheetViews>
    <sheetView zoomScale="80" zoomScaleNormal="80" workbookViewId="0">
      <pane ySplit="3" topLeftCell="A4" activePane="bottomLeft" state="frozen"/>
      <selection pane="bottomLeft" activeCell="F1" sqref="F1"/>
    </sheetView>
  </sheetViews>
  <sheetFormatPr defaultRowHeight="14.25"/>
  <cols>
    <col min="1" max="1" width="10" customWidth="1"/>
    <col min="2" max="2" width="26" customWidth="1"/>
    <col min="3" max="3" width="24" customWidth="1"/>
    <col min="4" max="4" width="20" customWidth="1"/>
    <col min="5" max="5" width="48" customWidth="1"/>
    <col min="6" max="6" width="26" customWidth="1"/>
    <col min="7" max="7" width="16" customWidth="1"/>
    <col min="8" max="8" width="10" customWidth="1"/>
    <col min="9" max="9" width="34" customWidth="1"/>
    <col min="10" max="10" width="26" customWidth="1"/>
  </cols>
  <sheetData>
    <row r="1" spans="1:11" ht="18.75">
      <c r="A1" s="41" t="s">
        <v>430</v>
      </c>
      <c r="B1" s="41"/>
      <c r="C1" s="41"/>
    </row>
    <row r="2" spans="1:11" ht="14.45" customHeight="1">
      <c r="A2" s="46" t="s">
        <v>431</v>
      </c>
      <c r="B2" s="43"/>
      <c r="C2" s="43"/>
      <c r="D2" s="43"/>
      <c r="E2" s="43"/>
      <c r="F2" s="43"/>
      <c r="G2" s="43"/>
      <c r="H2" s="43"/>
      <c r="I2" s="43"/>
      <c r="J2" s="43"/>
    </row>
    <row r="3" spans="1:11" ht="14.45" customHeight="1">
      <c r="A3" s="8" t="s">
        <v>432</v>
      </c>
      <c r="B3" s="8" t="s">
        <v>433</v>
      </c>
      <c r="C3" s="8" t="s">
        <v>434</v>
      </c>
      <c r="D3" s="8" t="s">
        <v>435</v>
      </c>
      <c r="E3" s="8" t="s">
        <v>436</v>
      </c>
      <c r="F3" s="8" t="s">
        <v>437</v>
      </c>
      <c r="G3" s="8" t="s">
        <v>438</v>
      </c>
      <c r="H3" s="8" t="s">
        <v>439</v>
      </c>
      <c r="I3" s="8" t="s">
        <v>440</v>
      </c>
      <c r="J3" s="8" t="s">
        <v>372</v>
      </c>
    </row>
    <row r="4" spans="1:11" ht="115.15" customHeight="1">
      <c r="A4" s="19" t="s">
        <v>441</v>
      </c>
      <c r="B4" s="20" t="s">
        <v>442</v>
      </c>
      <c r="C4" s="20" t="s">
        <v>352</v>
      </c>
      <c r="D4" s="20" t="s">
        <v>443</v>
      </c>
      <c r="E4" s="20" t="s">
        <v>444</v>
      </c>
      <c r="F4" s="20" t="s">
        <v>445</v>
      </c>
      <c r="G4" s="20" t="s">
        <v>446</v>
      </c>
      <c r="H4" s="22">
        <v>1</v>
      </c>
      <c r="I4" s="20" t="s">
        <v>447</v>
      </c>
      <c r="J4" s="20" t="s">
        <v>448</v>
      </c>
      <c r="K4" s="20"/>
    </row>
    <row r="5" spans="1:11" ht="115.15" customHeight="1">
      <c r="A5" s="19" t="s">
        <v>449</v>
      </c>
      <c r="B5" s="20" t="s">
        <v>214</v>
      </c>
      <c r="C5" s="20" t="s">
        <v>450</v>
      </c>
      <c r="D5" s="20" t="s">
        <v>451</v>
      </c>
      <c r="E5" s="20" t="s">
        <v>452</v>
      </c>
      <c r="F5" s="20" t="s">
        <v>453</v>
      </c>
      <c r="G5" s="20" t="s">
        <v>454</v>
      </c>
      <c r="H5" s="22">
        <v>2</v>
      </c>
      <c r="I5" s="20" t="s">
        <v>455</v>
      </c>
      <c r="J5" s="20" t="s">
        <v>456</v>
      </c>
      <c r="K5" s="20"/>
    </row>
    <row r="6" spans="1:11" ht="115.15" customHeight="1">
      <c r="A6" s="19" t="s">
        <v>457</v>
      </c>
      <c r="B6" s="20" t="s">
        <v>160</v>
      </c>
      <c r="C6" s="20" t="s">
        <v>458</v>
      </c>
      <c r="D6" s="20" t="s">
        <v>459</v>
      </c>
      <c r="E6" s="20" t="s">
        <v>460</v>
      </c>
      <c r="F6" s="20" t="s">
        <v>461</v>
      </c>
      <c r="G6" s="20" t="s">
        <v>446</v>
      </c>
      <c r="H6" s="22">
        <v>2</v>
      </c>
      <c r="I6" s="20" t="s">
        <v>462</v>
      </c>
      <c r="J6" s="20" t="s">
        <v>463</v>
      </c>
      <c r="K6" s="20"/>
    </row>
    <row r="7" spans="1:11" ht="115.15" customHeight="1">
      <c r="A7" s="19" t="s">
        <v>464</v>
      </c>
      <c r="B7" s="20" t="s">
        <v>465</v>
      </c>
      <c r="C7" s="20" t="s">
        <v>408</v>
      </c>
      <c r="D7" s="20" t="s">
        <v>466</v>
      </c>
      <c r="E7" s="20" t="s">
        <v>467</v>
      </c>
      <c r="F7" s="20" t="s">
        <v>468</v>
      </c>
      <c r="G7" s="20" t="s">
        <v>469</v>
      </c>
      <c r="H7" s="22">
        <v>1</v>
      </c>
      <c r="I7" s="20" t="s">
        <v>470</v>
      </c>
      <c r="J7" s="20" t="s">
        <v>471</v>
      </c>
      <c r="K7" s="20"/>
    </row>
    <row r="8" spans="1:11" ht="115.15" customHeight="1">
      <c r="A8" s="19" t="s">
        <v>472</v>
      </c>
      <c r="B8" s="20" t="s">
        <v>473</v>
      </c>
      <c r="C8" s="20" t="s">
        <v>414</v>
      </c>
      <c r="D8" s="20" t="s">
        <v>474</v>
      </c>
      <c r="E8" s="20" t="s">
        <v>475</v>
      </c>
      <c r="F8" s="20" t="s">
        <v>476</v>
      </c>
      <c r="G8" s="20" t="s">
        <v>469</v>
      </c>
      <c r="H8" s="22">
        <v>1</v>
      </c>
      <c r="I8" s="20" t="s">
        <v>477</v>
      </c>
      <c r="J8" s="20" t="s">
        <v>478</v>
      </c>
      <c r="K8" s="20"/>
    </row>
    <row r="9" spans="1:11" ht="115.15" customHeight="1">
      <c r="A9" s="19" t="s">
        <v>479</v>
      </c>
      <c r="B9" s="20" t="s">
        <v>480</v>
      </c>
      <c r="C9" s="20" t="s">
        <v>149</v>
      </c>
      <c r="D9" s="20" t="s">
        <v>481</v>
      </c>
      <c r="E9" s="20" t="s">
        <v>482</v>
      </c>
      <c r="F9" s="20" t="s">
        <v>483</v>
      </c>
      <c r="G9" s="20" t="s">
        <v>469</v>
      </c>
      <c r="H9" s="22">
        <v>1</v>
      </c>
      <c r="I9" s="20" t="s">
        <v>484</v>
      </c>
      <c r="J9" s="20" t="s">
        <v>1026</v>
      </c>
      <c r="K9" s="20"/>
    </row>
    <row r="10" spans="1:11" ht="115.15" customHeight="1">
      <c r="A10" s="19" t="s">
        <v>485</v>
      </c>
      <c r="B10" s="20" t="s">
        <v>486</v>
      </c>
      <c r="C10" s="20" t="s">
        <v>325</v>
      </c>
      <c r="D10" s="20" t="s">
        <v>487</v>
      </c>
      <c r="E10" s="20" t="s">
        <v>488</v>
      </c>
      <c r="F10" s="20" t="s">
        <v>489</v>
      </c>
      <c r="G10" s="20" t="s">
        <v>469</v>
      </c>
      <c r="H10" s="22">
        <v>1</v>
      </c>
      <c r="I10" s="20" t="s">
        <v>490</v>
      </c>
      <c r="J10" s="20" t="s">
        <v>491</v>
      </c>
      <c r="K10" s="20"/>
    </row>
    <row r="11" spans="1:11" ht="115.15" customHeight="1">
      <c r="A11" s="19" t="s">
        <v>492</v>
      </c>
      <c r="B11" s="20" t="s">
        <v>493</v>
      </c>
      <c r="C11" s="20" t="s">
        <v>216</v>
      </c>
      <c r="D11" s="20" t="s">
        <v>494</v>
      </c>
      <c r="E11" s="20" t="s">
        <v>495</v>
      </c>
      <c r="F11" s="20" t="s">
        <v>496</v>
      </c>
      <c r="G11" s="20" t="s">
        <v>284</v>
      </c>
      <c r="H11" s="22">
        <v>1</v>
      </c>
      <c r="I11" s="20" t="s">
        <v>497</v>
      </c>
      <c r="J11" s="20" t="s">
        <v>498</v>
      </c>
      <c r="K11" s="20"/>
    </row>
    <row r="12" spans="1:11" ht="115.15" customHeight="1">
      <c r="A12" s="19" t="s">
        <v>499</v>
      </c>
      <c r="B12" s="20" t="s">
        <v>500</v>
      </c>
      <c r="C12" s="20" t="s">
        <v>160</v>
      </c>
      <c r="D12" s="20" t="s">
        <v>501</v>
      </c>
      <c r="E12" s="20" t="s">
        <v>502</v>
      </c>
      <c r="F12" s="20" t="s">
        <v>503</v>
      </c>
      <c r="G12" s="20" t="s">
        <v>469</v>
      </c>
      <c r="H12" s="22">
        <v>1</v>
      </c>
      <c r="I12" s="20" t="s">
        <v>504</v>
      </c>
      <c r="J12" s="20" t="s">
        <v>505</v>
      </c>
      <c r="K12" s="20"/>
    </row>
    <row r="13" spans="1:11" ht="115.15" customHeight="1">
      <c r="A13" s="19" t="s">
        <v>506</v>
      </c>
      <c r="B13" s="20" t="s">
        <v>507</v>
      </c>
      <c r="C13" s="20" t="s">
        <v>508</v>
      </c>
      <c r="D13" s="20" t="s">
        <v>509</v>
      </c>
      <c r="E13" s="20" t="s">
        <v>510</v>
      </c>
      <c r="F13" s="20" t="s">
        <v>511</v>
      </c>
      <c r="G13" s="20" t="s">
        <v>469</v>
      </c>
      <c r="H13" s="22">
        <v>1</v>
      </c>
      <c r="I13" s="20" t="s">
        <v>512</v>
      </c>
      <c r="J13" s="20" t="s">
        <v>513</v>
      </c>
      <c r="K13" s="20"/>
    </row>
    <row r="14" spans="1:11" ht="115.15" customHeight="1">
      <c r="A14" s="19" t="s">
        <v>514</v>
      </c>
      <c r="B14" s="20" t="s">
        <v>515</v>
      </c>
      <c r="C14" s="20" t="s">
        <v>516</v>
      </c>
      <c r="D14" s="20" t="s">
        <v>517</v>
      </c>
      <c r="E14" s="20" t="s">
        <v>518</v>
      </c>
      <c r="F14" s="20" t="s">
        <v>511</v>
      </c>
      <c r="G14" s="20" t="s">
        <v>469</v>
      </c>
      <c r="H14" s="22">
        <v>1</v>
      </c>
      <c r="I14" s="20" t="s">
        <v>519</v>
      </c>
      <c r="J14" s="20" t="s">
        <v>520</v>
      </c>
      <c r="K14" s="20"/>
    </row>
    <row r="15" spans="1:11" ht="115.15" customHeight="1">
      <c r="A15" s="19" t="s">
        <v>521</v>
      </c>
      <c r="B15" s="20" t="s">
        <v>522</v>
      </c>
      <c r="C15" s="20" t="s">
        <v>523</v>
      </c>
      <c r="D15" s="20" t="s">
        <v>481</v>
      </c>
      <c r="E15" s="20" t="s">
        <v>524</v>
      </c>
      <c r="F15" s="20" t="s">
        <v>503</v>
      </c>
      <c r="G15" s="20" t="s">
        <v>469</v>
      </c>
      <c r="H15" s="22">
        <v>1</v>
      </c>
      <c r="I15" s="20" t="s">
        <v>525</v>
      </c>
      <c r="J15" s="20" t="s">
        <v>526</v>
      </c>
      <c r="K15" s="20"/>
    </row>
    <row r="16" spans="1:11" ht="115.15" customHeight="1">
      <c r="A16" s="19" t="s">
        <v>527</v>
      </c>
      <c r="B16" s="20" t="s">
        <v>528</v>
      </c>
      <c r="C16" s="20" t="s">
        <v>214</v>
      </c>
      <c r="D16" s="20" t="s">
        <v>529</v>
      </c>
      <c r="E16" s="20" t="s">
        <v>530</v>
      </c>
      <c r="F16" s="20" t="s">
        <v>531</v>
      </c>
      <c r="G16" s="20" t="s">
        <v>469</v>
      </c>
      <c r="H16" s="22">
        <v>1</v>
      </c>
      <c r="I16" s="20" t="s">
        <v>532</v>
      </c>
      <c r="J16" s="20" t="s">
        <v>533</v>
      </c>
      <c r="K16" s="20"/>
    </row>
    <row r="17" spans="1:11" ht="115.15" customHeight="1">
      <c r="A17" s="19" t="s">
        <v>534</v>
      </c>
      <c r="B17" s="20" t="s">
        <v>535</v>
      </c>
      <c r="C17" s="20" t="s">
        <v>338</v>
      </c>
      <c r="D17" s="20" t="s">
        <v>536</v>
      </c>
      <c r="E17" s="20" t="s">
        <v>537</v>
      </c>
      <c r="F17" s="20" t="s">
        <v>538</v>
      </c>
      <c r="G17" s="20" t="s">
        <v>469</v>
      </c>
      <c r="H17" s="22">
        <v>1</v>
      </c>
      <c r="I17" s="20" t="s">
        <v>539</v>
      </c>
      <c r="J17" s="20" t="s">
        <v>1027</v>
      </c>
      <c r="K17" s="20"/>
    </row>
    <row r="18" spans="1:11" ht="115.15" customHeight="1">
      <c r="A18" s="19" t="s">
        <v>540</v>
      </c>
      <c r="B18" s="20" t="s">
        <v>541</v>
      </c>
      <c r="C18" s="20" t="s">
        <v>542</v>
      </c>
      <c r="D18" s="20" t="s">
        <v>474</v>
      </c>
      <c r="E18" s="20" t="s">
        <v>543</v>
      </c>
      <c r="F18" s="20" t="s">
        <v>544</v>
      </c>
      <c r="G18" s="20" t="s">
        <v>469</v>
      </c>
      <c r="H18" s="22">
        <v>1</v>
      </c>
      <c r="I18" s="20" t="s">
        <v>545</v>
      </c>
      <c r="J18" s="20" t="s">
        <v>546</v>
      </c>
      <c r="K18" s="20"/>
    </row>
    <row r="19" spans="1:11" ht="115.15" customHeight="1">
      <c r="A19" s="19" t="s">
        <v>547</v>
      </c>
      <c r="B19" s="20" t="s">
        <v>548</v>
      </c>
      <c r="C19" s="20" t="s">
        <v>549</v>
      </c>
      <c r="D19" s="20" t="s">
        <v>550</v>
      </c>
      <c r="E19" s="20" t="s">
        <v>551</v>
      </c>
      <c r="F19" s="20" t="s">
        <v>552</v>
      </c>
      <c r="G19" s="20" t="s">
        <v>553</v>
      </c>
      <c r="H19" s="22" t="s">
        <v>554</v>
      </c>
      <c r="I19" s="20" t="s">
        <v>555</v>
      </c>
      <c r="J19" s="20" t="s">
        <v>556</v>
      </c>
      <c r="K19" s="20"/>
    </row>
    <row r="20" spans="1:11" ht="115.15" customHeight="1">
      <c r="A20" s="19" t="s">
        <v>557</v>
      </c>
      <c r="B20" s="20" t="s">
        <v>558</v>
      </c>
      <c r="C20" s="20" t="s">
        <v>408</v>
      </c>
      <c r="D20" s="20" t="s">
        <v>559</v>
      </c>
      <c r="E20" s="20" t="s">
        <v>560</v>
      </c>
      <c r="F20" s="20" t="s">
        <v>561</v>
      </c>
      <c r="G20" s="20" t="s">
        <v>469</v>
      </c>
      <c r="H20" s="22">
        <v>3</v>
      </c>
      <c r="I20" s="20" t="s">
        <v>562</v>
      </c>
      <c r="J20" s="20" t="s">
        <v>563</v>
      </c>
      <c r="K20" s="20"/>
    </row>
    <row r="21" spans="1:11">
      <c r="A21" s="1"/>
      <c r="B21" s="1"/>
      <c r="C21" s="1"/>
      <c r="D21" s="1"/>
      <c r="E21" s="1"/>
      <c r="F21" s="1"/>
      <c r="G21" s="1"/>
      <c r="H21" s="1"/>
      <c r="I21" s="1"/>
      <c r="J21" s="1"/>
    </row>
    <row r="22" spans="1:11">
      <c r="A22" s="1"/>
      <c r="B22" s="1"/>
      <c r="C22" s="1"/>
      <c r="D22" s="1"/>
      <c r="E22" s="1"/>
      <c r="F22" s="1"/>
      <c r="G22" s="1"/>
      <c r="H22" s="1"/>
      <c r="I22" s="1"/>
      <c r="J22" s="1"/>
    </row>
    <row r="23" spans="1:11">
      <c r="A23" s="1"/>
      <c r="B23" s="1"/>
      <c r="C23" s="1"/>
      <c r="D23" s="1"/>
      <c r="E23" s="1"/>
      <c r="F23" s="1"/>
      <c r="G23" s="1"/>
      <c r="H23" s="1"/>
      <c r="I23" s="1"/>
      <c r="J23" s="1"/>
    </row>
    <row r="24" spans="1:11">
      <c r="A24" s="1"/>
      <c r="B24" s="1"/>
      <c r="C24" s="1"/>
      <c r="D24" s="1"/>
      <c r="E24" s="1"/>
      <c r="F24" s="1"/>
      <c r="G24" s="1"/>
      <c r="H24" s="1"/>
      <c r="I24" s="1"/>
      <c r="J24" s="1"/>
    </row>
  </sheetData>
  <mergeCells count="2">
    <mergeCell ref="A2:J2"/>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5C8A"/>
  </sheetPr>
  <dimension ref="A1:K14"/>
  <sheetViews>
    <sheetView zoomScale="80" zoomScaleNormal="80" workbookViewId="0">
      <pane ySplit="3" topLeftCell="A4" activePane="bottomLeft" state="frozen"/>
      <selection pane="bottomLeft" activeCell="F4" sqref="F4"/>
    </sheetView>
  </sheetViews>
  <sheetFormatPr defaultRowHeight="14.25"/>
  <cols>
    <col min="1" max="1" width="10" customWidth="1"/>
    <col min="2" max="2" width="49" customWidth="1"/>
    <col min="3" max="3" width="36.6640625" customWidth="1"/>
    <col min="4" max="4" width="26" customWidth="1"/>
    <col min="5" max="5" width="18" customWidth="1"/>
    <col min="6" max="6" width="30" customWidth="1"/>
    <col min="7" max="7" width="22" customWidth="1"/>
    <col min="8" max="8" width="31.06640625" customWidth="1"/>
    <col min="9" max="9" width="30" customWidth="1"/>
    <col min="10" max="10" width="35.73046875" customWidth="1"/>
    <col min="11" max="11" width="24" customWidth="1"/>
  </cols>
  <sheetData>
    <row r="1" spans="1:11" ht="29.95" customHeight="1">
      <c r="A1" s="41" t="s">
        <v>618</v>
      </c>
      <c r="B1" s="41"/>
      <c r="C1" s="41"/>
    </row>
    <row r="2" spans="1:11" ht="14.45" customHeight="1">
      <c r="A2" s="46" t="s">
        <v>1028</v>
      </c>
      <c r="B2" s="43"/>
      <c r="C2" s="43"/>
      <c r="D2" s="43"/>
      <c r="E2" s="43"/>
      <c r="F2" s="43"/>
      <c r="G2" s="43"/>
      <c r="H2" s="43"/>
      <c r="I2" s="43"/>
      <c r="J2" s="43"/>
      <c r="K2" s="43"/>
    </row>
    <row r="3" spans="1:11" ht="14.45" customHeight="1">
      <c r="A3" s="8" t="s">
        <v>432</v>
      </c>
      <c r="B3" s="8" t="s">
        <v>619</v>
      </c>
      <c r="C3" s="8" t="s">
        <v>620</v>
      </c>
      <c r="D3" s="8" t="s">
        <v>621</v>
      </c>
      <c r="E3" s="8" t="s">
        <v>622</v>
      </c>
      <c r="F3" s="8" t="s">
        <v>623</v>
      </c>
      <c r="G3" s="8" t="s">
        <v>624</v>
      </c>
      <c r="H3" s="8" t="s">
        <v>625</v>
      </c>
      <c r="I3" s="8" t="s">
        <v>626</v>
      </c>
      <c r="J3" s="8" t="s">
        <v>627</v>
      </c>
      <c r="K3" s="8" t="s">
        <v>628</v>
      </c>
    </row>
    <row r="4" spans="1:11" ht="169.8" customHeight="1">
      <c r="A4" s="19" t="s">
        <v>629</v>
      </c>
      <c r="B4" s="20" t="s">
        <v>630</v>
      </c>
      <c r="C4" s="20" t="s">
        <v>929</v>
      </c>
      <c r="D4" s="20" t="s">
        <v>631</v>
      </c>
      <c r="E4" s="20" t="s">
        <v>632</v>
      </c>
      <c r="F4" s="20" t="s">
        <v>633</v>
      </c>
      <c r="G4" s="20" t="s">
        <v>408</v>
      </c>
      <c r="H4" s="22" t="s">
        <v>634</v>
      </c>
      <c r="I4" s="20" t="s">
        <v>635</v>
      </c>
      <c r="J4" s="20" t="s">
        <v>636</v>
      </c>
      <c r="K4" s="20" t="s">
        <v>930</v>
      </c>
    </row>
    <row r="5" spans="1:11">
      <c r="A5" s="1"/>
      <c r="B5" s="1"/>
      <c r="C5" s="1"/>
      <c r="D5" s="1"/>
      <c r="E5" s="1"/>
      <c r="F5" s="1"/>
      <c r="G5" s="1"/>
      <c r="H5" s="1"/>
      <c r="I5" s="1"/>
      <c r="J5" s="1"/>
      <c r="K5" s="1"/>
    </row>
    <row r="6" spans="1:11">
      <c r="A6" s="1"/>
      <c r="B6" s="1"/>
      <c r="C6" s="1"/>
      <c r="D6" s="1"/>
      <c r="E6" s="1"/>
      <c r="F6" s="1"/>
      <c r="G6" s="1"/>
      <c r="H6" s="1"/>
      <c r="I6" s="1"/>
      <c r="J6" s="1"/>
      <c r="K6" s="1"/>
    </row>
    <row r="7" spans="1:11">
      <c r="A7" s="1"/>
      <c r="B7" s="1"/>
      <c r="C7" s="1"/>
      <c r="D7" s="1"/>
      <c r="E7" s="1"/>
      <c r="F7" s="1"/>
      <c r="G7" s="1"/>
      <c r="H7" s="1"/>
      <c r="I7" s="1"/>
      <c r="J7" s="1"/>
      <c r="K7" s="1"/>
    </row>
    <row r="8" spans="1:11">
      <c r="A8" s="1"/>
      <c r="B8" s="1"/>
      <c r="C8" s="1"/>
      <c r="D8" s="1"/>
      <c r="E8" s="1"/>
      <c r="F8" s="1"/>
      <c r="G8" s="1"/>
      <c r="H8" s="1"/>
      <c r="I8" s="1"/>
      <c r="J8" s="1"/>
      <c r="K8" s="1"/>
    </row>
    <row r="9" spans="1:11">
      <c r="A9" s="1"/>
      <c r="B9" s="1"/>
      <c r="C9" s="1"/>
      <c r="D9" s="1"/>
      <c r="E9" s="1"/>
      <c r="F9" s="1"/>
      <c r="G9" s="1"/>
      <c r="H9" s="1"/>
      <c r="I9" s="1"/>
      <c r="J9" s="1"/>
      <c r="K9" s="1"/>
    </row>
    <row r="10" spans="1:11">
      <c r="A10" s="1"/>
      <c r="B10" s="1"/>
      <c r="C10" s="1"/>
      <c r="D10" s="1"/>
      <c r="E10" s="1"/>
      <c r="F10" s="1"/>
      <c r="G10" s="1"/>
      <c r="H10" s="1"/>
      <c r="I10" s="1"/>
      <c r="J10" s="1"/>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c r="A13" s="1"/>
      <c r="B13" s="1"/>
      <c r="C13" s="1"/>
      <c r="D13" s="1"/>
      <c r="E13" s="1"/>
      <c r="F13" s="1"/>
      <c r="G13" s="1"/>
      <c r="H13" s="1"/>
      <c r="I13" s="1"/>
      <c r="J13" s="1"/>
      <c r="K13" s="1"/>
    </row>
    <row r="14" spans="1:11">
      <c r="A14" s="1"/>
      <c r="B14" s="1"/>
      <c r="C14" s="1"/>
      <c r="D14" s="1"/>
      <c r="E14" s="1"/>
      <c r="F14" s="1"/>
      <c r="G14" s="1"/>
      <c r="H14" s="1"/>
      <c r="I14" s="1"/>
      <c r="J14" s="1"/>
      <c r="K14" s="1"/>
    </row>
  </sheetData>
  <mergeCells count="2">
    <mergeCell ref="A2:K2"/>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5C8A"/>
  </sheetPr>
  <dimension ref="A1:K25"/>
  <sheetViews>
    <sheetView zoomScale="80" zoomScaleNormal="80" workbookViewId="0">
      <pane ySplit="3" topLeftCell="A4" activePane="bottomLeft" state="frozen"/>
      <selection pane="bottomLeft" activeCell="C4" sqref="C4"/>
    </sheetView>
  </sheetViews>
  <sheetFormatPr defaultRowHeight="14.25"/>
  <cols>
    <col min="1" max="1" width="10" customWidth="1"/>
    <col min="2" max="2" width="22.33203125" customWidth="1"/>
    <col min="3" max="3" width="22" customWidth="1"/>
    <col min="4" max="4" width="34" customWidth="1"/>
    <col min="5" max="7" width="16" customWidth="1"/>
    <col min="8" max="8" width="30" customWidth="1"/>
    <col min="9" max="9" width="20" customWidth="1"/>
    <col min="10" max="10" width="22" customWidth="1"/>
    <col min="11" max="11" width="30" customWidth="1"/>
  </cols>
  <sheetData>
    <row r="1" spans="1:11" ht="18.75">
      <c r="A1" s="41" t="s">
        <v>637</v>
      </c>
      <c r="B1" s="41"/>
      <c r="C1" s="41"/>
    </row>
    <row r="2" spans="1:11" ht="14.45" customHeight="1">
      <c r="A2" s="46" t="s">
        <v>638</v>
      </c>
      <c r="B2" s="43"/>
      <c r="C2" s="43"/>
      <c r="D2" s="43"/>
      <c r="E2" s="43"/>
      <c r="F2" s="43"/>
      <c r="G2" s="43"/>
      <c r="H2" s="43"/>
      <c r="I2" s="43"/>
      <c r="J2" s="43"/>
      <c r="K2" s="43"/>
    </row>
    <row r="3" spans="1:11" ht="14.45" customHeight="1">
      <c r="A3" s="8" t="s">
        <v>639</v>
      </c>
      <c r="B3" s="8" t="s">
        <v>640</v>
      </c>
      <c r="C3" s="8" t="s">
        <v>135</v>
      </c>
      <c r="D3" s="8" t="s">
        <v>136</v>
      </c>
      <c r="E3" s="8" t="s">
        <v>137</v>
      </c>
      <c r="F3" s="8" t="s">
        <v>138</v>
      </c>
      <c r="G3" s="8" t="s">
        <v>641</v>
      </c>
      <c r="H3" s="8" t="s">
        <v>642</v>
      </c>
      <c r="I3" s="8" t="s">
        <v>139</v>
      </c>
      <c r="J3" s="8" t="s">
        <v>643</v>
      </c>
      <c r="K3" s="8" t="s">
        <v>82</v>
      </c>
    </row>
    <row r="4" spans="1:11" ht="169.8" customHeight="1">
      <c r="A4" s="19" t="s">
        <v>644</v>
      </c>
      <c r="B4" s="20" t="s">
        <v>645</v>
      </c>
      <c r="C4" s="20" t="s">
        <v>408</v>
      </c>
      <c r="D4" s="20" t="s">
        <v>931</v>
      </c>
      <c r="E4" s="20" t="s">
        <v>469</v>
      </c>
      <c r="F4" s="20" t="s">
        <v>148</v>
      </c>
      <c r="G4" s="20" t="s">
        <v>932</v>
      </c>
      <c r="H4" s="22" t="s">
        <v>646</v>
      </c>
      <c r="I4" s="20" t="s">
        <v>647</v>
      </c>
      <c r="J4" s="20" t="s">
        <v>648</v>
      </c>
      <c r="K4" s="20" t="s">
        <v>933</v>
      </c>
    </row>
    <row r="5" spans="1:11" ht="169.8" customHeight="1">
      <c r="A5" s="19" t="s">
        <v>644</v>
      </c>
      <c r="B5" s="20" t="s">
        <v>645</v>
      </c>
      <c r="C5" s="20" t="s">
        <v>414</v>
      </c>
      <c r="D5" s="20" t="s">
        <v>649</v>
      </c>
      <c r="E5" s="20" t="s">
        <v>469</v>
      </c>
      <c r="F5" s="20" t="s">
        <v>148</v>
      </c>
      <c r="G5" s="20" t="s">
        <v>148</v>
      </c>
      <c r="H5" s="22" t="s">
        <v>650</v>
      </c>
      <c r="I5" s="20" t="s">
        <v>651</v>
      </c>
      <c r="J5" s="20" t="s">
        <v>652</v>
      </c>
      <c r="K5" s="20" t="s">
        <v>653</v>
      </c>
    </row>
    <row r="6" spans="1:11" ht="169.8" customHeight="1">
      <c r="A6" s="19" t="s">
        <v>644</v>
      </c>
      <c r="B6" s="20" t="s">
        <v>645</v>
      </c>
      <c r="C6" s="20" t="s">
        <v>149</v>
      </c>
      <c r="D6" s="20" t="s">
        <v>182</v>
      </c>
      <c r="E6" s="20" t="s">
        <v>469</v>
      </c>
      <c r="F6" s="20" t="s">
        <v>148</v>
      </c>
      <c r="G6" s="20" t="s">
        <v>148</v>
      </c>
      <c r="H6" s="22" t="s">
        <v>654</v>
      </c>
      <c r="I6" s="20" t="s">
        <v>655</v>
      </c>
      <c r="J6" s="20" t="s">
        <v>656</v>
      </c>
      <c r="K6" s="20" t="s">
        <v>657</v>
      </c>
    </row>
    <row r="7" spans="1:11" ht="169.8" customHeight="1">
      <c r="A7" s="19" t="s">
        <v>644</v>
      </c>
      <c r="B7" s="20" t="s">
        <v>645</v>
      </c>
      <c r="C7" s="20" t="s">
        <v>325</v>
      </c>
      <c r="D7" s="20" t="s">
        <v>658</v>
      </c>
      <c r="E7" s="20" t="s">
        <v>469</v>
      </c>
      <c r="F7" s="20" t="s">
        <v>148</v>
      </c>
      <c r="G7" s="20" t="s">
        <v>148</v>
      </c>
      <c r="H7" s="22" t="s">
        <v>659</v>
      </c>
      <c r="I7" s="20" t="s">
        <v>581</v>
      </c>
      <c r="J7" s="20" t="s">
        <v>660</v>
      </c>
      <c r="K7" s="20" t="s">
        <v>661</v>
      </c>
    </row>
    <row r="8" spans="1:11" ht="169.8" customHeight="1">
      <c r="A8" s="19" t="s">
        <v>644</v>
      </c>
      <c r="B8" s="20" t="s">
        <v>645</v>
      </c>
      <c r="C8" s="20" t="s">
        <v>352</v>
      </c>
      <c r="D8" s="20" t="s">
        <v>662</v>
      </c>
      <c r="E8" s="20" t="s">
        <v>168</v>
      </c>
      <c r="F8" s="20" t="s">
        <v>148</v>
      </c>
      <c r="G8" s="20" t="s">
        <v>148</v>
      </c>
      <c r="H8" s="22" t="s">
        <v>663</v>
      </c>
      <c r="I8" s="20">
        <v>2023</v>
      </c>
      <c r="J8" s="20" t="s">
        <v>652</v>
      </c>
      <c r="K8" s="20" t="s">
        <v>664</v>
      </c>
    </row>
    <row r="9" spans="1:11" ht="169.8" customHeight="1">
      <c r="A9" s="19" t="s">
        <v>644</v>
      </c>
      <c r="B9" s="20" t="s">
        <v>645</v>
      </c>
      <c r="C9" s="20" t="s">
        <v>216</v>
      </c>
      <c r="D9" s="20" t="s">
        <v>665</v>
      </c>
      <c r="E9" s="20" t="s">
        <v>666</v>
      </c>
      <c r="F9" s="20" t="s">
        <v>155</v>
      </c>
      <c r="G9" s="20" t="s">
        <v>148</v>
      </c>
      <c r="H9" s="22" t="s">
        <v>667</v>
      </c>
      <c r="I9" s="20">
        <v>45027</v>
      </c>
      <c r="J9" s="20" t="s">
        <v>652</v>
      </c>
      <c r="K9" s="20" t="s">
        <v>934</v>
      </c>
    </row>
    <row r="10" spans="1:11" ht="169.8" customHeight="1">
      <c r="A10" s="19" t="s">
        <v>644</v>
      </c>
      <c r="B10" s="20" t="s">
        <v>645</v>
      </c>
      <c r="C10" s="20" t="s">
        <v>160</v>
      </c>
      <c r="D10" s="20" t="s">
        <v>668</v>
      </c>
      <c r="E10" s="20" t="s">
        <v>469</v>
      </c>
      <c r="F10" s="20" t="s">
        <v>155</v>
      </c>
      <c r="G10" s="20" t="s">
        <v>148</v>
      </c>
      <c r="H10" s="22" t="s">
        <v>669</v>
      </c>
      <c r="I10" s="20" t="s">
        <v>670</v>
      </c>
      <c r="J10" s="20" t="s">
        <v>671</v>
      </c>
      <c r="K10" s="20" t="s">
        <v>935</v>
      </c>
    </row>
    <row r="11" spans="1:11" ht="169.8" customHeight="1">
      <c r="A11" s="19" t="s">
        <v>644</v>
      </c>
      <c r="B11" s="20" t="s">
        <v>645</v>
      </c>
      <c r="C11" s="20" t="s">
        <v>508</v>
      </c>
      <c r="D11" s="20" t="s">
        <v>672</v>
      </c>
      <c r="E11" s="20" t="s">
        <v>469</v>
      </c>
      <c r="F11" s="20" t="s">
        <v>155</v>
      </c>
      <c r="G11" s="20" t="s">
        <v>148</v>
      </c>
      <c r="H11" s="22" t="s">
        <v>673</v>
      </c>
      <c r="I11" s="20" t="s">
        <v>674</v>
      </c>
      <c r="J11" s="20" t="s">
        <v>675</v>
      </c>
      <c r="K11" s="20" t="s">
        <v>676</v>
      </c>
    </row>
    <row r="12" spans="1:11" ht="169.8" customHeight="1">
      <c r="A12" s="19" t="s">
        <v>644</v>
      </c>
      <c r="B12" s="20" t="s">
        <v>645</v>
      </c>
      <c r="C12" s="20" t="s">
        <v>516</v>
      </c>
      <c r="D12" s="20" t="s">
        <v>677</v>
      </c>
      <c r="E12" s="20" t="s">
        <v>469</v>
      </c>
      <c r="F12" s="20" t="s">
        <v>155</v>
      </c>
      <c r="G12" s="20" t="s">
        <v>148</v>
      </c>
      <c r="H12" s="22" t="s">
        <v>678</v>
      </c>
      <c r="I12" s="20"/>
      <c r="J12" s="20" t="s">
        <v>679</v>
      </c>
      <c r="K12" s="20" t="s">
        <v>936</v>
      </c>
    </row>
    <row r="13" spans="1:11" ht="169.8" customHeight="1">
      <c r="A13" s="19" t="s">
        <v>644</v>
      </c>
      <c r="B13" s="20" t="s">
        <v>645</v>
      </c>
      <c r="C13" s="20" t="s">
        <v>523</v>
      </c>
      <c r="D13" s="20" t="s">
        <v>680</v>
      </c>
      <c r="E13" s="20" t="s">
        <v>469</v>
      </c>
      <c r="F13" s="20" t="s">
        <v>155</v>
      </c>
      <c r="G13" s="20" t="s">
        <v>148</v>
      </c>
      <c r="H13" s="22" t="s">
        <v>681</v>
      </c>
      <c r="I13" s="20" t="s">
        <v>682</v>
      </c>
      <c r="J13" s="20" t="s">
        <v>683</v>
      </c>
      <c r="K13" s="20" t="s">
        <v>684</v>
      </c>
    </row>
    <row r="14" spans="1:11" ht="169.8" customHeight="1">
      <c r="A14" s="19" t="s">
        <v>644</v>
      </c>
      <c r="B14" s="20" t="s">
        <v>645</v>
      </c>
      <c r="C14" s="20" t="s">
        <v>214</v>
      </c>
      <c r="D14" s="20" t="s">
        <v>685</v>
      </c>
      <c r="E14" s="20" t="s">
        <v>469</v>
      </c>
      <c r="F14" s="20" t="s">
        <v>148</v>
      </c>
      <c r="G14" s="20" t="s">
        <v>148</v>
      </c>
      <c r="H14" s="22" t="s">
        <v>686</v>
      </c>
      <c r="I14" s="20" t="s">
        <v>687</v>
      </c>
      <c r="J14" s="20" t="s">
        <v>688</v>
      </c>
      <c r="K14" s="20" t="s">
        <v>689</v>
      </c>
    </row>
    <row r="15" spans="1:11" ht="169.8" customHeight="1">
      <c r="A15" s="19" t="s">
        <v>644</v>
      </c>
      <c r="B15" s="20" t="s">
        <v>645</v>
      </c>
      <c r="C15" s="20" t="s">
        <v>338</v>
      </c>
      <c r="D15" s="20" t="s">
        <v>690</v>
      </c>
      <c r="E15" s="20" t="s">
        <v>469</v>
      </c>
      <c r="F15" s="20" t="s">
        <v>148</v>
      </c>
      <c r="G15" s="20" t="s">
        <v>148</v>
      </c>
      <c r="H15" s="22" t="s">
        <v>691</v>
      </c>
      <c r="I15" s="20" t="s">
        <v>692</v>
      </c>
      <c r="J15" s="20" t="s">
        <v>693</v>
      </c>
      <c r="K15" s="20" t="s">
        <v>1029</v>
      </c>
    </row>
    <row r="16" spans="1:11" ht="169.8" customHeight="1">
      <c r="A16" s="19" t="s">
        <v>644</v>
      </c>
      <c r="B16" s="20" t="s">
        <v>645</v>
      </c>
      <c r="C16" s="20" t="s">
        <v>542</v>
      </c>
      <c r="D16" s="20" t="s">
        <v>694</v>
      </c>
      <c r="E16" s="20" t="s">
        <v>469</v>
      </c>
      <c r="F16" s="20" t="s">
        <v>148</v>
      </c>
      <c r="G16" s="20" t="s">
        <v>148</v>
      </c>
      <c r="H16" s="22" t="s">
        <v>695</v>
      </c>
      <c r="I16" s="20" t="s">
        <v>651</v>
      </c>
      <c r="J16" s="20" t="s">
        <v>652</v>
      </c>
      <c r="K16" s="20" t="s">
        <v>696</v>
      </c>
    </row>
    <row r="17" spans="1:11" ht="169.8" customHeight="1">
      <c r="A17" s="19" t="s">
        <v>644</v>
      </c>
      <c r="B17" s="20" t="s">
        <v>645</v>
      </c>
      <c r="C17" s="20" t="s">
        <v>450</v>
      </c>
      <c r="D17" s="20" t="s">
        <v>697</v>
      </c>
      <c r="E17" s="20" t="s">
        <v>698</v>
      </c>
      <c r="F17" s="20" t="s">
        <v>148</v>
      </c>
      <c r="G17" s="20" t="s">
        <v>148</v>
      </c>
      <c r="H17" s="22" t="s">
        <v>699</v>
      </c>
      <c r="I17" s="20" t="b">
        <v>1</v>
      </c>
      <c r="J17" s="20" t="s">
        <v>652</v>
      </c>
      <c r="K17" s="20" t="s">
        <v>700</v>
      </c>
    </row>
    <row r="18" spans="1:11" ht="169.8" customHeight="1">
      <c r="A18" s="19" t="s">
        <v>644</v>
      </c>
      <c r="B18" s="20" t="s">
        <v>645</v>
      </c>
      <c r="C18" s="20" t="s">
        <v>458</v>
      </c>
      <c r="D18" s="20" t="s">
        <v>701</v>
      </c>
      <c r="E18" s="20" t="s">
        <v>168</v>
      </c>
      <c r="F18" s="20" t="s">
        <v>148</v>
      </c>
      <c r="G18" s="20" t="s">
        <v>148</v>
      </c>
      <c r="H18" s="22" t="s">
        <v>702</v>
      </c>
      <c r="I18" s="20">
        <v>3</v>
      </c>
      <c r="J18" s="20" t="s">
        <v>652</v>
      </c>
      <c r="K18" s="20" t="s">
        <v>703</v>
      </c>
    </row>
    <row r="19" spans="1:11" ht="169.8" customHeight="1">
      <c r="A19" s="19" t="s">
        <v>644</v>
      </c>
      <c r="B19" s="20" t="s">
        <v>645</v>
      </c>
      <c r="C19" s="20" t="s">
        <v>549</v>
      </c>
      <c r="D19" s="20" t="s">
        <v>704</v>
      </c>
      <c r="E19" s="20" t="s">
        <v>553</v>
      </c>
      <c r="F19" s="20" t="s">
        <v>148</v>
      </c>
      <c r="G19" s="20" t="s">
        <v>148</v>
      </c>
      <c r="H19" s="22" t="s">
        <v>705</v>
      </c>
      <c r="I19" s="20" t="s">
        <v>1030</v>
      </c>
      <c r="J19" s="20" t="s">
        <v>706</v>
      </c>
      <c r="K19" s="20" t="s">
        <v>937</v>
      </c>
    </row>
    <row r="20" spans="1:11">
      <c r="A20" s="1"/>
    </row>
    <row r="21" spans="1:11">
      <c r="A21" s="1"/>
      <c r="I21" s="1"/>
      <c r="J21" s="1"/>
      <c r="K21" s="1"/>
    </row>
    <row r="22" spans="1:11">
      <c r="A22" s="1"/>
      <c r="I22" s="1"/>
      <c r="J22" s="1"/>
      <c r="K22" s="1"/>
    </row>
    <row r="23" spans="1:11">
      <c r="A23" s="1"/>
      <c r="I23" s="1"/>
      <c r="J23" s="1"/>
      <c r="K23" s="1"/>
    </row>
    <row r="24" spans="1:11">
      <c r="A24" s="1"/>
      <c r="I24" s="1"/>
      <c r="J24" s="1"/>
      <c r="K24" s="1"/>
    </row>
    <row r="25" spans="1:11">
      <c r="A25" s="1"/>
      <c r="I25" s="1"/>
      <c r="J25" s="1"/>
      <c r="K25" s="1"/>
    </row>
  </sheetData>
  <mergeCells count="2">
    <mergeCell ref="A2:K2"/>
    <mergeCell ref="A1:C1"/>
  </mergeCells>
  <dataValidations count="2">
    <dataValidation type="list" allowBlank="1" sqref="F4:F25" xr:uid="{00000000-0002-0000-0800-000000000000}">
      <formula1>"Yes,No"</formula1>
    </dataValidation>
    <dataValidation type="list" allowBlank="1" sqref="G5:G25" xr:uid="{00000000-0002-0000-0800-000001000000}">
      <formula1>"Primary key,Part of composite key,Foreign key,No"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5C8A"/>
  </sheetPr>
  <dimension ref="A1:K19"/>
  <sheetViews>
    <sheetView zoomScale="70" zoomScaleNormal="70" workbookViewId="0">
      <pane ySplit="2" topLeftCell="A3" activePane="bottomLeft" state="frozen"/>
      <selection pane="bottomLeft" activeCell="A3" sqref="A3"/>
    </sheetView>
  </sheetViews>
  <sheetFormatPr defaultRowHeight="14.25"/>
  <cols>
    <col min="1" max="1" width="10" customWidth="1"/>
    <col min="2" max="2" width="22" customWidth="1"/>
    <col min="3" max="3" width="34" customWidth="1"/>
    <col min="4" max="4" width="46" customWidth="1"/>
    <col min="5" max="5" width="24" customWidth="1"/>
    <col min="6" max="6" width="12.46484375" customWidth="1"/>
    <col min="7" max="7" width="26" customWidth="1"/>
    <col min="8" max="8" width="22" customWidth="1"/>
    <col min="9" max="9" width="30.46484375" customWidth="1"/>
  </cols>
  <sheetData>
    <row r="1" spans="1:11" ht="18.75">
      <c r="A1" s="41" t="s">
        <v>707</v>
      </c>
      <c r="B1" s="41"/>
      <c r="C1" s="41"/>
    </row>
    <row r="2" spans="1:11" ht="14.45" customHeight="1">
      <c r="A2" s="8" t="s">
        <v>364</v>
      </c>
      <c r="B2" s="8" t="s">
        <v>708</v>
      </c>
      <c r="C2" s="8" t="s">
        <v>709</v>
      </c>
      <c r="D2" s="8" t="s">
        <v>710</v>
      </c>
      <c r="E2" s="8" t="s">
        <v>711</v>
      </c>
      <c r="F2" s="8" t="s">
        <v>712</v>
      </c>
      <c r="G2" s="8" t="s">
        <v>369</v>
      </c>
      <c r="H2" s="8" t="s">
        <v>713</v>
      </c>
      <c r="I2" s="8" t="s">
        <v>372</v>
      </c>
    </row>
    <row r="3" spans="1:11" ht="107.55" customHeight="1">
      <c r="A3" s="19" t="s">
        <v>714</v>
      </c>
      <c r="B3" s="20" t="s">
        <v>645</v>
      </c>
      <c r="C3" s="20" t="s">
        <v>715</v>
      </c>
      <c r="D3" s="20" t="s">
        <v>716</v>
      </c>
      <c r="E3" s="20" t="s">
        <v>717</v>
      </c>
      <c r="F3" s="20" t="s">
        <v>718</v>
      </c>
      <c r="G3" s="20" t="s">
        <v>719</v>
      </c>
      <c r="H3" s="22" t="s">
        <v>720</v>
      </c>
      <c r="I3" s="20" t="s">
        <v>721</v>
      </c>
      <c r="J3" s="20"/>
      <c r="K3" s="20"/>
    </row>
    <row r="4" spans="1:11" ht="141.69999999999999" customHeight="1">
      <c r="A4" s="19" t="s">
        <v>722</v>
      </c>
      <c r="B4" s="20" t="s">
        <v>645</v>
      </c>
      <c r="C4" s="20" t="s">
        <v>723</v>
      </c>
      <c r="D4" s="20" t="s">
        <v>724</v>
      </c>
      <c r="E4" s="20" t="s">
        <v>725</v>
      </c>
      <c r="F4" s="20" t="s">
        <v>726</v>
      </c>
      <c r="G4" s="20" t="s">
        <v>727</v>
      </c>
      <c r="H4" s="22" t="s">
        <v>728</v>
      </c>
      <c r="I4" s="20" t="s">
        <v>729</v>
      </c>
      <c r="J4" s="20"/>
      <c r="K4" s="20"/>
    </row>
    <row r="5" spans="1:11" ht="169.8" customHeight="1">
      <c r="A5" s="19" t="s">
        <v>730</v>
      </c>
      <c r="B5" s="20" t="s">
        <v>645</v>
      </c>
      <c r="C5" s="20" t="s">
        <v>731</v>
      </c>
      <c r="D5" s="20" t="s">
        <v>938</v>
      </c>
      <c r="E5" s="20" t="s">
        <v>732</v>
      </c>
      <c r="F5" s="20" t="s">
        <v>733</v>
      </c>
      <c r="G5" s="20" t="s">
        <v>734</v>
      </c>
      <c r="H5" s="22" t="s">
        <v>728</v>
      </c>
      <c r="I5" s="20" t="s">
        <v>729</v>
      </c>
      <c r="J5" s="20"/>
      <c r="K5" s="20"/>
    </row>
    <row r="6" spans="1:11" ht="169.8" customHeight="1">
      <c r="A6" s="19" t="s">
        <v>735</v>
      </c>
      <c r="B6" s="20" t="s">
        <v>645</v>
      </c>
      <c r="C6" s="20" t="s">
        <v>736</v>
      </c>
      <c r="D6" s="20" t="s">
        <v>737</v>
      </c>
      <c r="E6" s="20" t="s">
        <v>738</v>
      </c>
      <c r="F6" s="20" t="s">
        <v>739</v>
      </c>
      <c r="G6" s="20" t="s">
        <v>740</v>
      </c>
      <c r="H6" s="22" t="s">
        <v>728</v>
      </c>
      <c r="I6" s="20" t="s">
        <v>741</v>
      </c>
      <c r="J6" s="20"/>
      <c r="K6" s="20"/>
    </row>
    <row r="7" spans="1:11" ht="169.8" customHeight="1">
      <c r="A7" s="19" t="s">
        <v>742</v>
      </c>
      <c r="B7" s="20" t="s">
        <v>645</v>
      </c>
      <c r="C7" s="20" t="s">
        <v>743</v>
      </c>
      <c r="D7" s="20" t="s">
        <v>939</v>
      </c>
      <c r="E7" s="20" t="s">
        <v>744</v>
      </c>
      <c r="F7" s="20" t="s">
        <v>745</v>
      </c>
      <c r="G7" s="20" t="s">
        <v>746</v>
      </c>
      <c r="H7" s="22" t="s">
        <v>747</v>
      </c>
      <c r="I7" s="20" t="s">
        <v>729</v>
      </c>
      <c r="J7" s="20"/>
      <c r="K7" s="20"/>
    </row>
    <row r="8" spans="1:11" ht="169.8" customHeight="1">
      <c r="A8" s="19" t="s">
        <v>748</v>
      </c>
      <c r="B8" s="20" t="s">
        <v>645</v>
      </c>
      <c r="C8" s="20" t="s">
        <v>749</v>
      </c>
      <c r="D8" s="20" t="s">
        <v>940</v>
      </c>
      <c r="E8" s="20" t="s">
        <v>750</v>
      </c>
      <c r="F8" s="20" t="s">
        <v>751</v>
      </c>
      <c r="G8" s="20" t="s">
        <v>752</v>
      </c>
      <c r="H8" s="22" t="s">
        <v>753</v>
      </c>
      <c r="I8" s="20" t="s">
        <v>1031</v>
      </c>
      <c r="J8" s="20"/>
      <c r="K8" s="20"/>
    </row>
    <row r="9" spans="1:11" ht="169.8" customHeight="1">
      <c r="A9" s="19" t="s">
        <v>754</v>
      </c>
      <c r="B9" s="20" t="s">
        <v>755</v>
      </c>
      <c r="C9" s="20" t="s">
        <v>756</v>
      </c>
      <c r="D9" s="20" t="s">
        <v>757</v>
      </c>
      <c r="E9" s="20" t="s">
        <v>758</v>
      </c>
      <c r="F9" s="20" t="s">
        <v>759</v>
      </c>
      <c r="G9" s="20" t="s">
        <v>760</v>
      </c>
      <c r="H9" s="22" t="s">
        <v>761</v>
      </c>
      <c r="I9" s="20" t="s">
        <v>1032</v>
      </c>
      <c r="J9" s="20"/>
      <c r="K9" s="20"/>
    </row>
    <row r="10" spans="1:11" ht="169.8" customHeight="1">
      <c r="A10" s="19" t="s">
        <v>762</v>
      </c>
      <c r="B10" s="20" t="s">
        <v>755</v>
      </c>
      <c r="C10" s="20" t="s">
        <v>763</v>
      </c>
      <c r="D10" s="20" t="s">
        <v>764</v>
      </c>
      <c r="E10" s="20" t="s">
        <v>765</v>
      </c>
      <c r="F10" s="20" t="s">
        <v>766</v>
      </c>
      <c r="G10" s="20" t="s">
        <v>767</v>
      </c>
      <c r="H10" s="22" t="s">
        <v>768</v>
      </c>
      <c r="I10" s="20" t="s">
        <v>1033</v>
      </c>
      <c r="J10" s="20"/>
      <c r="K10" s="20"/>
    </row>
    <row r="11" spans="1:11" ht="169.8" customHeight="1">
      <c r="A11" s="19" t="s">
        <v>769</v>
      </c>
      <c r="B11" s="20" t="s">
        <v>755</v>
      </c>
      <c r="C11" s="20" t="s">
        <v>770</v>
      </c>
      <c r="D11" s="20" t="s">
        <v>771</v>
      </c>
      <c r="E11" s="20" t="s">
        <v>772</v>
      </c>
      <c r="F11" s="20" t="s">
        <v>773</v>
      </c>
      <c r="G11" s="20" t="s">
        <v>774</v>
      </c>
      <c r="H11" s="22" t="s">
        <v>768</v>
      </c>
      <c r="I11" s="20" t="s">
        <v>1034</v>
      </c>
      <c r="J11" s="20"/>
      <c r="K11" s="20"/>
    </row>
    <row r="12" spans="1:11" ht="169.8" customHeight="1">
      <c r="A12" s="19" t="s">
        <v>775</v>
      </c>
      <c r="B12" s="20" t="s">
        <v>645</v>
      </c>
      <c r="C12" s="20" t="s">
        <v>776</v>
      </c>
      <c r="D12" s="20" t="s">
        <v>777</v>
      </c>
      <c r="E12" s="20" t="s">
        <v>778</v>
      </c>
      <c r="F12" s="20" t="s">
        <v>759</v>
      </c>
      <c r="G12" s="20" t="s">
        <v>779</v>
      </c>
      <c r="H12" s="22" t="s">
        <v>780</v>
      </c>
      <c r="I12" s="20" t="s">
        <v>941</v>
      </c>
      <c r="J12" s="20"/>
      <c r="K12" s="20"/>
    </row>
    <row r="13" spans="1:11" ht="169.8" customHeight="1">
      <c r="A13" s="19" t="s">
        <v>781</v>
      </c>
      <c r="B13" s="20" t="s">
        <v>645</v>
      </c>
      <c r="C13" s="20" t="s">
        <v>782</v>
      </c>
      <c r="D13" s="20" t="s">
        <v>783</v>
      </c>
      <c r="E13" s="20" t="s">
        <v>784</v>
      </c>
      <c r="F13" s="20" t="s">
        <v>785</v>
      </c>
      <c r="G13" s="20" t="s">
        <v>786</v>
      </c>
      <c r="H13" s="22" t="s">
        <v>787</v>
      </c>
      <c r="I13" s="20" t="s">
        <v>942</v>
      </c>
      <c r="J13" s="20"/>
      <c r="K13" s="20"/>
    </row>
    <row r="14" spans="1:11" ht="169.8" customHeight="1">
      <c r="A14" s="19" t="s">
        <v>943</v>
      </c>
      <c r="B14" s="20" t="s">
        <v>944</v>
      </c>
      <c r="C14" s="20" t="s">
        <v>945</v>
      </c>
      <c r="D14" s="20" t="s">
        <v>946</v>
      </c>
      <c r="E14" s="20" t="s">
        <v>947</v>
      </c>
      <c r="F14" s="20" t="s">
        <v>948</v>
      </c>
      <c r="G14" s="20" t="s">
        <v>949</v>
      </c>
      <c r="H14" s="22" t="s">
        <v>1035</v>
      </c>
      <c r="I14" s="20" t="s">
        <v>950</v>
      </c>
      <c r="J14" s="20"/>
      <c r="K14" s="20"/>
    </row>
    <row r="15" spans="1:11">
      <c r="A15" s="1"/>
      <c r="B15" s="1"/>
      <c r="C15" s="1"/>
      <c r="D15" s="1"/>
      <c r="E15" s="1"/>
      <c r="F15" s="1"/>
      <c r="G15" s="1"/>
      <c r="H15" s="1"/>
      <c r="I15" s="1"/>
    </row>
    <row r="16" spans="1:11">
      <c r="A16" s="1"/>
      <c r="B16" s="1"/>
      <c r="C16" s="1"/>
      <c r="D16" s="1"/>
      <c r="E16" s="1"/>
      <c r="F16" s="1"/>
      <c r="G16" s="1"/>
      <c r="H16" s="1"/>
      <c r="I16" s="1"/>
    </row>
    <row r="17" spans="1:9">
      <c r="A17" s="1"/>
      <c r="B17" s="1"/>
      <c r="C17" s="1"/>
      <c r="D17" s="1"/>
      <c r="E17" s="1"/>
      <c r="F17" s="1"/>
      <c r="G17" s="1"/>
      <c r="H17" s="1"/>
      <c r="I17" s="1"/>
    </row>
    <row r="18" spans="1:9">
      <c r="A18" s="1"/>
      <c r="B18" s="1"/>
      <c r="C18" s="1"/>
      <c r="D18" s="1"/>
      <c r="E18" s="1"/>
      <c r="F18" s="1"/>
      <c r="G18" s="1"/>
      <c r="H18" s="1"/>
      <c r="I18" s="1"/>
    </row>
    <row r="19" spans="1:9">
      <c r="A19" s="1"/>
      <c r="B19" s="1"/>
      <c r="C19" s="1"/>
      <c r="D19" s="1"/>
      <c r="E19" s="1"/>
      <c r="F19" s="1"/>
      <c r="G19" s="1"/>
      <c r="H19" s="1"/>
      <c r="I19" s="1"/>
    </row>
  </sheetData>
  <mergeCells count="1">
    <mergeCell ref="A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5C8A"/>
  </sheetPr>
  <dimension ref="A1:K14"/>
  <sheetViews>
    <sheetView topLeftCell="B1" zoomScale="80" zoomScaleNormal="80" workbookViewId="0">
      <pane ySplit="3" topLeftCell="A4" activePane="bottomLeft" state="frozen"/>
      <selection pane="bottomLeft" activeCell="E16" sqref="E16"/>
    </sheetView>
  </sheetViews>
  <sheetFormatPr defaultRowHeight="14.25"/>
  <cols>
    <col min="1" max="1" width="8" customWidth="1"/>
    <col min="2" max="3" width="24" customWidth="1"/>
    <col min="4" max="4" width="13.1328125" customWidth="1"/>
    <col min="5" max="5" width="34" customWidth="1"/>
    <col min="6" max="6" width="42.73046875" customWidth="1"/>
    <col min="7" max="7" width="20" customWidth="1"/>
    <col min="8" max="8" width="23.3984375" customWidth="1"/>
    <col min="9" max="9" width="20" customWidth="1"/>
    <col min="10" max="10" width="36.73046875" customWidth="1"/>
    <col min="11" max="11" width="53.3984375" customWidth="1"/>
  </cols>
  <sheetData>
    <row r="1" spans="1:11" ht="18.75">
      <c r="A1" s="41" t="s">
        <v>788</v>
      </c>
      <c r="B1" s="41"/>
      <c r="C1" s="41"/>
    </row>
    <row r="2" spans="1:11" ht="14.45" customHeight="1">
      <c r="A2" s="47" t="s">
        <v>789</v>
      </c>
      <c r="B2" s="43"/>
      <c r="C2" s="43"/>
      <c r="D2" s="43"/>
      <c r="E2" s="43"/>
      <c r="F2" s="43"/>
      <c r="G2" s="43"/>
      <c r="H2" s="43"/>
      <c r="I2" s="43"/>
      <c r="J2" s="43"/>
      <c r="K2" s="43"/>
    </row>
    <row r="3" spans="1:11" ht="14.45" customHeight="1">
      <c r="A3" s="8" t="s">
        <v>72</v>
      </c>
      <c r="B3" s="8" t="s">
        <v>790</v>
      </c>
      <c r="C3" s="8" t="s">
        <v>74</v>
      </c>
      <c r="D3" s="8" t="s">
        <v>791</v>
      </c>
      <c r="E3" s="8" t="s">
        <v>792</v>
      </c>
      <c r="F3" s="8" t="s">
        <v>793</v>
      </c>
      <c r="G3" s="8" t="s">
        <v>794</v>
      </c>
      <c r="H3" s="8" t="s">
        <v>795</v>
      </c>
      <c r="I3" s="8" t="s">
        <v>796</v>
      </c>
      <c r="J3" s="8" t="s">
        <v>797</v>
      </c>
      <c r="K3" s="8" t="s">
        <v>82</v>
      </c>
    </row>
    <row r="4" spans="1:11" ht="99.2" customHeight="1">
      <c r="A4" s="19" t="s">
        <v>644</v>
      </c>
      <c r="B4" s="20" t="s">
        <v>645</v>
      </c>
      <c r="C4" s="20" t="s">
        <v>798</v>
      </c>
      <c r="D4" s="20" t="s">
        <v>799</v>
      </c>
      <c r="E4" s="20" t="s">
        <v>951</v>
      </c>
      <c r="F4" s="20" t="s">
        <v>952</v>
      </c>
      <c r="G4" s="20" t="s">
        <v>800</v>
      </c>
      <c r="H4" s="22" t="s">
        <v>801</v>
      </c>
      <c r="I4" s="20" t="s">
        <v>802</v>
      </c>
      <c r="J4" s="20" t="s">
        <v>1036</v>
      </c>
      <c r="K4" s="20" t="s">
        <v>953</v>
      </c>
    </row>
    <row r="5" spans="1:11" ht="149.75" customHeight="1">
      <c r="A5" s="19" t="s">
        <v>954</v>
      </c>
      <c r="B5" s="20" t="s">
        <v>944</v>
      </c>
      <c r="C5" s="20" t="s">
        <v>1102</v>
      </c>
      <c r="D5" s="20" t="s">
        <v>955</v>
      </c>
      <c r="E5" s="40" t="s">
        <v>1103</v>
      </c>
      <c r="F5" s="20" t="s">
        <v>956</v>
      </c>
      <c r="G5" s="20" t="s">
        <v>957</v>
      </c>
      <c r="H5" s="22" t="s">
        <v>958</v>
      </c>
      <c r="I5" s="20" t="s">
        <v>959</v>
      </c>
      <c r="J5" s="20" t="s">
        <v>960</v>
      </c>
      <c r="K5" s="20" t="s">
        <v>961</v>
      </c>
    </row>
    <row r="6" spans="1:11">
      <c r="A6" s="1"/>
      <c r="B6" s="1"/>
      <c r="C6" s="1"/>
      <c r="D6" s="1"/>
      <c r="E6" s="1"/>
      <c r="F6" s="1"/>
      <c r="G6" s="1"/>
      <c r="H6" s="1"/>
      <c r="I6" s="1"/>
      <c r="J6" s="1"/>
      <c r="K6" s="1"/>
    </row>
    <row r="7" spans="1:11">
      <c r="A7" s="1"/>
      <c r="B7" s="1"/>
      <c r="C7" s="1"/>
      <c r="D7" s="1"/>
      <c r="E7" s="1"/>
      <c r="F7" s="1"/>
      <c r="G7" s="1"/>
      <c r="H7" s="1"/>
      <c r="I7" s="1"/>
      <c r="J7" s="1"/>
      <c r="K7" s="1"/>
    </row>
    <row r="8" spans="1:11">
      <c r="A8" s="1"/>
      <c r="B8" s="1"/>
      <c r="C8" s="1"/>
      <c r="D8" s="1"/>
      <c r="E8" s="1"/>
      <c r="F8" s="1"/>
      <c r="G8" s="1"/>
      <c r="H8" s="1"/>
      <c r="I8" s="1"/>
      <c r="J8" s="1"/>
      <c r="K8" s="1"/>
    </row>
    <row r="9" spans="1:11">
      <c r="A9" s="1"/>
      <c r="B9" s="1"/>
      <c r="C9" s="1"/>
      <c r="D9" s="1"/>
      <c r="E9" s="1"/>
      <c r="F9" s="1"/>
      <c r="G9" s="1"/>
      <c r="H9" s="1"/>
      <c r="I9" s="1"/>
      <c r="J9" s="1"/>
      <c r="K9" s="1"/>
    </row>
    <row r="10" spans="1:11">
      <c r="A10" s="1"/>
      <c r="B10" s="1"/>
      <c r="C10" s="1"/>
      <c r="D10" s="1"/>
      <c r="E10" s="1"/>
      <c r="F10" s="1"/>
      <c r="G10" s="1"/>
      <c r="H10" s="1"/>
      <c r="I10" s="1"/>
      <c r="J10" s="1"/>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c r="A13" s="1"/>
      <c r="B13" s="1"/>
      <c r="C13" s="1"/>
      <c r="D13" s="1"/>
      <c r="E13" s="1"/>
      <c r="F13" s="1"/>
      <c r="G13" s="1"/>
      <c r="H13" s="1"/>
      <c r="I13" s="1"/>
      <c r="J13" s="1"/>
      <c r="K13" s="1"/>
    </row>
    <row r="14" spans="1:11">
      <c r="A14" s="1"/>
      <c r="B14" s="1"/>
      <c r="C14" s="1"/>
      <c r="D14" s="1"/>
      <c r="E14" s="1"/>
      <c r="F14" s="1"/>
      <c r="G14" s="1"/>
      <c r="H14" s="1"/>
      <c r="I14" s="1"/>
      <c r="J14" s="1"/>
      <c r="K14" s="1"/>
    </row>
  </sheetData>
  <mergeCells count="2">
    <mergeCell ref="A2:K2"/>
    <mergeCell ref="A1:C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5C8A"/>
  </sheetPr>
  <dimension ref="A1:D24"/>
  <sheetViews>
    <sheetView tabSelected="1" zoomScale="70" zoomScaleNormal="70" workbookViewId="0">
      <pane ySplit="2" topLeftCell="A3" activePane="bottomLeft" state="frozen"/>
      <selection pane="bottomLeft" activeCell="C10" sqref="C10"/>
    </sheetView>
  </sheetViews>
  <sheetFormatPr defaultRowHeight="14.25"/>
  <cols>
    <col min="1" max="1" width="34" customWidth="1"/>
    <col min="2" max="2" width="106.46484375" customWidth="1"/>
    <col min="3" max="3" width="52" customWidth="1"/>
  </cols>
  <sheetData>
    <row r="1" spans="1:3" ht="18.75">
      <c r="A1" s="41" t="s">
        <v>803</v>
      </c>
      <c r="B1" s="41"/>
      <c r="C1" s="41"/>
    </row>
    <row r="2" spans="1:3" s="30" customFormat="1" ht="14.45" customHeight="1">
      <c r="A2" s="29" t="s">
        <v>48</v>
      </c>
      <c r="B2" s="29" t="s">
        <v>49</v>
      </c>
      <c r="C2" s="29"/>
    </row>
    <row r="3" spans="1:3" s="30" customFormat="1" ht="14.45" customHeight="1">
      <c r="A3" s="48" t="s">
        <v>804</v>
      </c>
      <c r="B3" s="49"/>
      <c r="C3" s="49"/>
    </row>
    <row r="4" spans="1:3" s="30" customFormat="1" ht="37.9" customHeight="1">
      <c r="A4" s="31" t="s">
        <v>805</v>
      </c>
      <c r="B4" s="32" t="s">
        <v>806</v>
      </c>
    </row>
    <row r="5" spans="1:3" s="30" customFormat="1" ht="37.9" customHeight="1">
      <c r="A5" s="31" t="s">
        <v>807</v>
      </c>
      <c r="B5" s="32" t="s">
        <v>808</v>
      </c>
    </row>
    <row r="6" spans="1:3" s="30" customFormat="1" ht="54">
      <c r="A6" s="31" t="s">
        <v>809</v>
      </c>
      <c r="B6" s="32" t="s">
        <v>810</v>
      </c>
    </row>
    <row r="7" spans="1:3" s="30" customFormat="1" ht="27">
      <c r="A7" s="31" t="s">
        <v>811</v>
      </c>
      <c r="B7" s="32" t="s">
        <v>1105</v>
      </c>
    </row>
    <row r="8" spans="1:3" s="30" customFormat="1" ht="54">
      <c r="A8" s="31" t="s">
        <v>812</v>
      </c>
      <c r="B8" s="32" t="s">
        <v>962</v>
      </c>
    </row>
    <row r="9" spans="1:3" s="30" customFormat="1" ht="14.45" customHeight="1">
      <c r="A9" s="48" t="s">
        <v>813</v>
      </c>
      <c r="B9" s="49"/>
      <c r="C9" s="49"/>
    </row>
    <row r="10" spans="1:3" s="30" customFormat="1" ht="61.25" customHeight="1">
      <c r="A10" s="31" t="s">
        <v>814</v>
      </c>
      <c r="B10" s="32" t="s">
        <v>963</v>
      </c>
    </row>
    <row r="11" spans="1:3" s="30" customFormat="1" ht="53.35" customHeight="1">
      <c r="A11" s="31" t="s">
        <v>815</v>
      </c>
      <c r="B11" s="32" t="s">
        <v>816</v>
      </c>
    </row>
    <row r="12" spans="1:3" s="30" customFormat="1" ht="53.35" customHeight="1">
      <c r="A12" s="31" t="s">
        <v>817</v>
      </c>
      <c r="B12" s="32" t="s">
        <v>964</v>
      </c>
    </row>
    <row r="13" spans="1:3" s="30" customFormat="1" ht="76.25" customHeight="1">
      <c r="A13" s="31" t="s">
        <v>818</v>
      </c>
      <c r="B13" s="32" t="s">
        <v>965</v>
      </c>
    </row>
    <row r="14" spans="1:3" s="30" customFormat="1" ht="76.25" customHeight="1">
      <c r="A14" s="31" t="s">
        <v>819</v>
      </c>
      <c r="B14" s="32" t="s">
        <v>820</v>
      </c>
    </row>
    <row r="15" spans="1:3" ht="14.45" customHeight="1">
      <c r="A15" s="50" t="s">
        <v>821</v>
      </c>
      <c r="B15" s="51"/>
      <c r="C15" s="52"/>
    </row>
    <row r="16" spans="1:3" s="30" customFormat="1" ht="88.45" customHeight="1">
      <c r="A16" s="31" t="s">
        <v>822</v>
      </c>
      <c r="B16" s="32" t="s">
        <v>966</v>
      </c>
    </row>
    <row r="17" spans="1:4" s="30" customFormat="1" ht="88.45" customHeight="1">
      <c r="A17" s="31" t="s">
        <v>823</v>
      </c>
      <c r="B17" s="32" t="s">
        <v>1097</v>
      </c>
    </row>
    <row r="18" spans="1:4" s="30" customFormat="1" ht="88.45" customHeight="1">
      <c r="A18" s="31" t="s">
        <v>824</v>
      </c>
      <c r="B18" s="32" t="s">
        <v>967</v>
      </c>
    </row>
    <row r="19" spans="1:4" s="30" customFormat="1" ht="24.85" customHeight="1">
      <c r="A19" s="31" t="s">
        <v>825</v>
      </c>
      <c r="B19" s="32" t="s">
        <v>1098</v>
      </c>
    </row>
    <row r="20" spans="1:4" s="30" customFormat="1" ht="14.45" customHeight="1">
      <c r="A20" s="48" t="s">
        <v>826</v>
      </c>
      <c r="B20" s="49"/>
      <c r="C20" s="49"/>
    </row>
    <row r="21" spans="1:4" s="30" customFormat="1" ht="88.45" customHeight="1">
      <c r="A21" s="31" t="s">
        <v>827</v>
      </c>
      <c r="B21" s="32" t="s">
        <v>828</v>
      </c>
    </row>
    <row r="22" spans="1:4" s="30" customFormat="1" ht="88.45" customHeight="1">
      <c r="A22" s="31" t="s">
        <v>829</v>
      </c>
      <c r="B22" s="32" t="s">
        <v>1037</v>
      </c>
    </row>
    <row r="23" spans="1:4" s="30" customFormat="1" ht="88.45" customHeight="1">
      <c r="A23" s="31" t="s">
        <v>830</v>
      </c>
      <c r="B23" s="32" t="s">
        <v>831</v>
      </c>
    </row>
    <row r="24" spans="1:4">
      <c r="C24" s="30"/>
      <c r="D24" s="30"/>
    </row>
  </sheetData>
  <mergeCells count="5">
    <mergeCell ref="A1:C1"/>
    <mergeCell ref="A3:C3"/>
    <mergeCell ref="A15:C15"/>
    <mergeCell ref="A20:C20"/>
    <mergeCell ref="A9:C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5C8A"/>
  </sheetPr>
  <dimension ref="A1:J29"/>
  <sheetViews>
    <sheetView zoomScale="80" zoomScaleNormal="80" workbookViewId="0">
      <pane ySplit="3" topLeftCell="A5" activePane="bottomLeft" state="frozen"/>
      <selection pane="bottomLeft" activeCell="B5" sqref="B5"/>
    </sheetView>
  </sheetViews>
  <sheetFormatPr defaultRowHeight="14.25"/>
  <cols>
    <col min="1" max="1" width="14.06640625" customWidth="1"/>
    <col min="2" max="2" width="16" customWidth="1"/>
    <col min="3" max="3" width="73.3984375" customWidth="1"/>
    <col min="4" max="5" width="14" customWidth="1"/>
    <col min="6" max="6" width="57.73046875" customWidth="1"/>
    <col min="7" max="7" width="18" customWidth="1"/>
    <col min="8" max="8" width="17.46484375" customWidth="1"/>
    <col min="9" max="9" width="14" customWidth="1"/>
  </cols>
  <sheetData>
    <row r="1" spans="1:10" ht="18.75">
      <c r="A1" s="41" t="s">
        <v>564</v>
      </c>
      <c r="B1" s="41"/>
      <c r="C1" s="41"/>
    </row>
    <row r="2" spans="1:10" ht="14.45" customHeight="1">
      <c r="A2" s="46" t="s">
        <v>890</v>
      </c>
      <c r="B2" s="43"/>
      <c r="C2" s="43"/>
      <c r="D2" s="43"/>
      <c r="E2" s="43"/>
      <c r="F2" s="43"/>
      <c r="G2" s="43"/>
      <c r="H2" s="43"/>
      <c r="I2" s="43"/>
      <c r="J2" s="43"/>
    </row>
    <row r="3" spans="1:10" ht="14.45" customHeight="1">
      <c r="A3" s="17" t="s">
        <v>72</v>
      </c>
      <c r="B3" s="8" t="s">
        <v>565</v>
      </c>
      <c r="C3" s="8" t="s">
        <v>566</v>
      </c>
      <c r="D3" s="8" t="s">
        <v>567</v>
      </c>
      <c r="E3" s="8" t="s">
        <v>568</v>
      </c>
      <c r="F3" s="8" t="s">
        <v>569</v>
      </c>
      <c r="G3" s="8" t="s">
        <v>570</v>
      </c>
      <c r="H3" s="8" t="s">
        <v>571</v>
      </c>
      <c r="I3" s="8" t="s">
        <v>264</v>
      </c>
    </row>
    <row r="4" spans="1:10" ht="14.45" hidden="1" customHeight="1">
      <c r="A4" s="24"/>
      <c r="B4" s="24"/>
      <c r="C4" s="24"/>
      <c r="D4" s="24"/>
      <c r="E4" s="24"/>
      <c r="F4" s="24"/>
      <c r="G4" s="24"/>
      <c r="H4" s="24"/>
      <c r="I4" s="24"/>
    </row>
    <row r="5" spans="1:10" ht="63.75">
      <c r="A5" s="23" t="s">
        <v>572</v>
      </c>
      <c r="B5" s="14" t="s">
        <v>579</v>
      </c>
      <c r="C5" s="15" t="s">
        <v>580</v>
      </c>
      <c r="D5" s="15" t="s">
        <v>574</v>
      </c>
      <c r="E5" s="33" t="s">
        <v>577</v>
      </c>
      <c r="F5" s="16" t="s">
        <v>892</v>
      </c>
      <c r="G5" s="15" t="s">
        <v>575</v>
      </c>
      <c r="H5" s="34">
        <v>46264</v>
      </c>
      <c r="I5" s="16" t="s">
        <v>891</v>
      </c>
    </row>
    <row r="6" spans="1:10" ht="51">
      <c r="A6" s="23" t="s">
        <v>576</v>
      </c>
      <c r="B6" s="14" t="s">
        <v>573</v>
      </c>
      <c r="C6" s="15" t="s">
        <v>583</v>
      </c>
      <c r="D6" s="15" t="s">
        <v>574</v>
      </c>
      <c r="E6" s="33" t="s">
        <v>577</v>
      </c>
      <c r="F6" s="16" t="s">
        <v>1038</v>
      </c>
      <c r="G6" s="15" t="s">
        <v>575</v>
      </c>
      <c r="H6" s="34">
        <v>46121</v>
      </c>
      <c r="I6" s="16" t="s">
        <v>597</v>
      </c>
    </row>
    <row r="7" spans="1:10" ht="51">
      <c r="A7" s="23" t="s">
        <v>578</v>
      </c>
      <c r="B7" s="14" t="s">
        <v>573</v>
      </c>
      <c r="C7" s="15" t="s">
        <v>585</v>
      </c>
      <c r="D7" s="15" t="s">
        <v>586</v>
      </c>
      <c r="E7" s="33" t="s">
        <v>574</v>
      </c>
      <c r="F7" s="16" t="s">
        <v>893</v>
      </c>
      <c r="G7" s="15" t="s">
        <v>575</v>
      </c>
      <c r="H7" s="34">
        <v>46121</v>
      </c>
      <c r="I7" s="16" t="s">
        <v>891</v>
      </c>
    </row>
    <row r="8" spans="1:10" ht="51">
      <c r="A8" s="23" t="s">
        <v>582</v>
      </c>
      <c r="B8" s="14" t="s">
        <v>573</v>
      </c>
      <c r="C8" s="15" t="s">
        <v>588</v>
      </c>
      <c r="D8" s="15" t="s">
        <v>574</v>
      </c>
      <c r="E8" s="33" t="s">
        <v>586</v>
      </c>
      <c r="F8" s="16" t="s">
        <v>894</v>
      </c>
      <c r="G8" s="15" t="s">
        <v>575</v>
      </c>
      <c r="H8" s="34">
        <v>46121</v>
      </c>
      <c r="I8" s="16" t="s">
        <v>597</v>
      </c>
    </row>
    <row r="9" spans="1:10" ht="51">
      <c r="A9" s="23" t="s">
        <v>584</v>
      </c>
      <c r="B9" s="14" t="s">
        <v>579</v>
      </c>
      <c r="C9" s="15" t="s">
        <v>590</v>
      </c>
      <c r="D9" s="15" t="s">
        <v>586</v>
      </c>
      <c r="E9" s="33" t="s">
        <v>574</v>
      </c>
      <c r="F9" s="16" t="s">
        <v>895</v>
      </c>
      <c r="G9" s="15" t="s">
        <v>581</v>
      </c>
      <c r="H9" s="34">
        <v>46275</v>
      </c>
      <c r="I9" s="16" t="s">
        <v>597</v>
      </c>
    </row>
    <row r="10" spans="1:10" ht="38.25">
      <c r="A10" s="23" t="s">
        <v>587</v>
      </c>
      <c r="B10" s="14" t="s">
        <v>573</v>
      </c>
      <c r="C10" s="15" t="s">
        <v>592</v>
      </c>
      <c r="D10" s="15" t="s">
        <v>574</v>
      </c>
      <c r="E10" s="33" t="s">
        <v>574</v>
      </c>
      <c r="F10" s="16" t="s">
        <v>896</v>
      </c>
      <c r="G10" s="15" t="s">
        <v>581</v>
      </c>
      <c r="H10" s="34">
        <v>46275</v>
      </c>
      <c r="I10" s="16" t="s">
        <v>597</v>
      </c>
    </row>
    <row r="11" spans="1:10" ht="38.25">
      <c r="A11" s="23" t="s">
        <v>589</v>
      </c>
      <c r="B11" s="14" t="s">
        <v>573</v>
      </c>
      <c r="C11" s="15" t="s">
        <v>594</v>
      </c>
      <c r="D11" s="15" t="s">
        <v>574</v>
      </c>
      <c r="E11" s="33" t="s">
        <v>577</v>
      </c>
      <c r="F11" s="16" t="s">
        <v>897</v>
      </c>
      <c r="G11" s="15" t="s">
        <v>581</v>
      </c>
      <c r="H11" s="34">
        <v>46275</v>
      </c>
      <c r="I11" s="16" t="s">
        <v>597</v>
      </c>
    </row>
    <row r="12" spans="1:10" ht="51">
      <c r="A12" s="23" t="s">
        <v>591</v>
      </c>
      <c r="B12" s="14" t="s">
        <v>573</v>
      </c>
      <c r="C12" s="15" t="s">
        <v>898</v>
      </c>
      <c r="D12" s="15" t="s">
        <v>574</v>
      </c>
      <c r="E12" s="33" t="s">
        <v>574</v>
      </c>
      <c r="F12" s="16" t="s">
        <v>899</v>
      </c>
      <c r="G12" s="15" t="s">
        <v>581</v>
      </c>
      <c r="H12" s="34">
        <v>46275</v>
      </c>
      <c r="I12" s="16" t="s">
        <v>597</v>
      </c>
    </row>
    <row r="13" spans="1:10" ht="51">
      <c r="A13" s="23" t="s">
        <v>593</v>
      </c>
      <c r="B13" s="14" t="s">
        <v>579</v>
      </c>
      <c r="C13" s="15" t="s">
        <v>900</v>
      </c>
      <c r="D13" s="15" t="s">
        <v>586</v>
      </c>
      <c r="E13" s="33" t="s">
        <v>574</v>
      </c>
      <c r="F13" s="16" t="s">
        <v>901</v>
      </c>
      <c r="G13" s="15" t="s">
        <v>581</v>
      </c>
      <c r="H13" s="34">
        <v>46275</v>
      </c>
      <c r="I13" s="16" t="s">
        <v>597</v>
      </c>
    </row>
    <row r="14" spans="1:10" ht="63.75">
      <c r="A14" s="23" t="s">
        <v>595</v>
      </c>
      <c r="B14" s="14" t="s">
        <v>579</v>
      </c>
      <c r="C14" s="15" t="s">
        <v>902</v>
      </c>
      <c r="D14" s="15" t="s">
        <v>586</v>
      </c>
      <c r="E14" s="33" t="s">
        <v>574</v>
      </c>
      <c r="F14" s="16" t="s">
        <v>903</v>
      </c>
      <c r="G14" s="15" t="s">
        <v>581</v>
      </c>
      <c r="H14" s="34">
        <v>46275</v>
      </c>
      <c r="I14" s="16" t="s">
        <v>597</v>
      </c>
    </row>
    <row r="15" spans="1:10" ht="51">
      <c r="A15" s="23" t="s">
        <v>596</v>
      </c>
      <c r="B15" s="14" t="s">
        <v>579</v>
      </c>
      <c r="C15" s="15" t="s">
        <v>904</v>
      </c>
      <c r="D15" s="15" t="s">
        <v>574</v>
      </c>
      <c r="E15" s="33" t="s">
        <v>574</v>
      </c>
      <c r="F15" s="16" t="s">
        <v>905</v>
      </c>
      <c r="G15" s="15" t="s">
        <v>581</v>
      </c>
      <c r="H15" s="34">
        <v>46275</v>
      </c>
      <c r="I15" s="16" t="s">
        <v>597</v>
      </c>
    </row>
    <row r="16" spans="1:10" ht="38.25">
      <c r="A16" s="23" t="s">
        <v>598</v>
      </c>
      <c r="B16" s="14" t="s">
        <v>579</v>
      </c>
      <c r="C16" s="15" t="s">
        <v>906</v>
      </c>
      <c r="D16" s="15" t="s">
        <v>586</v>
      </c>
      <c r="E16" s="33" t="s">
        <v>577</v>
      </c>
      <c r="F16" s="16" t="s">
        <v>907</v>
      </c>
      <c r="G16" s="15" t="s">
        <v>581</v>
      </c>
      <c r="H16" s="34">
        <v>46275</v>
      </c>
      <c r="I16" s="16" t="s">
        <v>597</v>
      </c>
    </row>
    <row r="17" spans="1:9" ht="25.5">
      <c r="A17" s="23" t="s">
        <v>599</v>
      </c>
      <c r="B17" s="14" t="s">
        <v>579</v>
      </c>
      <c r="C17" s="15" t="s">
        <v>908</v>
      </c>
      <c r="D17" s="15" t="s">
        <v>586</v>
      </c>
      <c r="E17" s="33" t="s">
        <v>577</v>
      </c>
      <c r="F17" s="16" t="s">
        <v>909</v>
      </c>
      <c r="G17" s="15" t="s">
        <v>575</v>
      </c>
      <c r="H17" s="34">
        <v>46275</v>
      </c>
      <c r="I17" s="16" t="s">
        <v>597</v>
      </c>
    </row>
    <row r="18" spans="1:9" ht="38.25">
      <c r="A18" s="23" t="s">
        <v>600</v>
      </c>
      <c r="B18" s="14" t="s">
        <v>579</v>
      </c>
      <c r="C18" s="15" t="s">
        <v>910</v>
      </c>
      <c r="D18" s="15" t="s">
        <v>586</v>
      </c>
      <c r="E18" s="33" t="s">
        <v>586</v>
      </c>
      <c r="F18" s="16" t="s">
        <v>911</v>
      </c>
      <c r="G18" s="15" t="s">
        <v>575</v>
      </c>
      <c r="H18" s="34">
        <v>46275</v>
      </c>
      <c r="I18" s="16" t="s">
        <v>597</v>
      </c>
    </row>
    <row r="19" spans="1:9" ht="38.25">
      <c r="A19" s="23" t="s">
        <v>601</v>
      </c>
      <c r="B19" s="14" t="s">
        <v>579</v>
      </c>
      <c r="C19" s="15" t="s">
        <v>912</v>
      </c>
      <c r="D19" s="15" t="s">
        <v>586</v>
      </c>
      <c r="E19" s="33" t="s">
        <v>574</v>
      </c>
      <c r="F19" s="16" t="s">
        <v>913</v>
      </c>
      <c r="G19" s="15" t="s">
        <v>575</v>
      </c>
      <c r="H19" s="34">
        <v>46276</v>
      </c>
      <c r="I19" s="16" t="s">
        <v>597</v>
      </c>
    </row>
    <row r="20" spans="1:9" ht="25.5">
      <c r="A20" s="23" t="s">
        <v>602</v>
      </c>
      <c r="B20" s="14" t="s">
        <v>579</v>
      </c>
      <c r="C20" s="15" t="s">
        <v>914</v>
      </c>
      <c r="D20" s="15" t="s">
        <v>577</v>
      </c>
      <c r="E20" s="33" t="s">
        <v>577</v>
      </c>
      <c r="F20" s="16" t="s">
        <v>915</v>
      </c>
      <c r="G20" s="15" t="s">
        <v>581</v>
      </c>
      <c r="H20" s="34">
        <v>46276</v>
      </c>
      <c r="I20" s="16" t="s">
        <v>597</v>
      </c>
    </row>
    <row r="21" spans="1:9" ht="38.25">
      <c r="A21" s="23" t="s">
        <v>603</v>
      </c>
      <c r="B21" s="14" t="s">
        <v>579</v>
      </c>
      <c r="C21" s="15" t="s">
        <v>606</v>
      </c>
      <c r="D21" s="15" t="s">
        <v>577</v>
      </c>
      <c r="E21" s="33" t="s">
        <v>577</v>
      </c>
      <c r="F21" s="16" t="s">
        <v>916</v>
      </c>
      <c r="G21" s="15" t="s">
        <v>581</v>
      </c>
      <c r="H21" s="34">
        <v>46276</v>
      </c>
      <c r="I21" s="16" t="s">
        <v>597</v>
      </c>
    </row>
    <row r="22" spans="1:9" ht="38.25">
      <c r="A22" s="23" t="s">
        <v>604</v>
      </c>
      <c r="B22" s="14" t="s">
        <v>579</v>
      </c>
      <c r="C22" s="15" t="s">
        <v>917</v>
      </c>
      <c r="D22" s="15" t="s">
        <v>574</v>
      </c>
      <c r="E22" s="33" t="s">
        <v>577</v>
      </c>
      <c r="F22" s="16" t="s">
        <v>918</v>
      </c>
      <c r="G22" s="15" t="s">
        <v>581</v>
      </c>
      <c r="H22" s="34">
        <v>46276</v>
      </c>
      <c r="I22" s="16" t="s">
        <v>597</v>
      </c>
    </row>
    <row r="23" spans="1:9" ht="38.25">
      <c r="A23" s="23" t="s">
        <v>605</v>
      </c>
      <c r="B23" s="14" t="s">
        <v>579</v>
      </c>
      <c r="C23" s="15" t="s">
        <v>919</v>
      </c>
      <c r="D23" s="15" t="s">
        <v>577</v>
      </c>
      <c r="E23" s="33" t="s">
        <v>586</v>
      </c>
      <c r="F23" s="16" t="s">
        <v>920</v>
      </c>
      <c r="G23" s="15" t="s">
        <v>610</v>
      </c>
      <c r="H23" s="34">
        <v>46276</v>
      </c>
      <c r="I23" s="16" t="s">
        <v>597</v>
      </c>
    </row>
    <row r="24" spans="1:9" ht="38.25">
      <c r="A24" s="23" t="s">
        <v>607</v>
      </c>
      <c r="B24" s="14" t="s">
        <v>579</v>
      </c>
      <c r="C24" s="15" t="s">
        <v>921</v>
      </c>
      <c r="D24" s="15" t="s">
        <v>586</v>
      </c>
      <c r="E24" s="33" t="s">
        <v>574</v>
      </c>
      <c r="F24" s="16" t="s">
        <v>922</v>
      </c>
      <c r="G24" s="15" t="s">
        <v>610</v>
      </c>
      <c r="H24" s="34">
        <v>46275</v>
      </c>
      <c r="I24" s="16" t="s">
        <v>597</v>
      </c>
    </row>
    <row r="25" spans="1:9" ht="38.25">
      <c r="A25" s="23" t="s">
        <v>608</v>
      </c>
      <c r="B25" s="14" t="s">
        <v>579</v>
      </c>
      <c r="C25" s="15" t="s">
        <v>923</v>
      </c>
      <c r="D25" s="15" t="s">
        <v>574</v>
      </c>
      <c r="E25" s="33" t="s">
        <v>574</v>
      </c>
      <c r="F25" s="16" t="s">
        <v>1039</v>
      </c>
      <c r="G25" s="15" t="s">
        <v>610</v>
      </c>
      <c r="H25" s="34">
        <v>46276</v>
      </c>
      <c r="I25" s="16" t="s">
        <v>597</v>
      </c>
    </row>
    <row r="26" spans="1:9" ht="25.5">
      <c r="A26" s="23" t="s">
        <v>609</v>
      </c>
      <c r="B26" s="14" t="s">
        <v>573</v>
      </c>
      <c r="C26" s="15" t="s">
        <v>924</v>
      </c>
      <c r="D26" s="15" t="s">
        <v>574</v>
      </c>
      <c r="E26" s="33" t="s">
        <v>574</v>
      </c>
      <c r="F26" s="16" t="s">
        <v>925</v>
      </c>
      <c r="G26" s="15" t="s">
        <v>610</v>
      </c>
      <c r="H26" s="34">
        <v>46277</v>
      </c>
      <c r="I26" s="16" t="s">
        <v>597</v>
      </c>
    </row>
    <row r="27" spans="1:9" ht="25.5">
      <c r="A27" s="23" t="s">
        <v>611</v>
      </c>
      <c r="B27" s="14" t="s">
        <v>579</v>
      </c>
      <c r="C27" s="15" t="s">
        <v>926</v>
      </c>
      <c r="D27" s="15" t="s">
        <v>574</v>
      </c>
      <c r="E27" s="33" t="s">
        <v>574</v>
      </c>
      <c r="F27" s="16" t="s">
        <v>927</v>
      </c>
      <c r="G27" s="15" t="s">
        <v>610</v>
      </c>
      <c r="H27" s="34">
        <v>46278</v>
      </c>
      <c r="I27" s="16" t="s">
        <v>597</v>
      </c>
    </row>
    <row r="28" spans="1:9" ht="51">
      <c r="A28" s="23" t="s">
        <v>612</v>
      </c>
      <c r="B28" s="14" t="s">
        <v>573</v>
      </c>
      <c r="C28" s="15" t="s">
        <v>613</v>
      </c>
      <c r="D28" s="15" t="s">
        <v>586</v>
      </c>
      <c r="E28" s="33" t="s">
        <v>577</v>
      </c>
      <c r="F28" s="16" t="s">
        <v>928</v>
      </c>
      <c r="G28" s="15" t="s">
        <v>610</v>
      </c>
      <c r="H28" s="34">
        <v>46279</v>
      </c>
      <c r="I28" s="16" t="s">
        <v>597</v>
      </c>
    </row>
    <row r="29" spans="1:9" ht="63.75">
      <c r="A29" s="23" t="s">
        <v>614</v>
      </c>
      <c r="B29" s="14" t="s">
        <v>579</v>
      </c>
      <c r="C29" s="15" t="s">
        <v>615</v>
      </c>
      <c r="D29" s="15" t="s">
        <v>616</v>
      </c>
      <c r="E29" s="33" t="s">
        <v>574</v>
      </c>
      <c r="F29" s="16" t="s">
        <v>617</v>
      </c>
      <c r="G29" s="15" t="s">
        <v>610</v>
      </c>
      <c r="H29" s="34">
        <v>46281</v>
      </c>
      <c r="I29" s="16" t="s">
        <v>597</v>
      </c>
    </row>
  </sheetData>
  <mergeCells count="2">
    <mergeCell ref="A1:C1"/>
    <mergeCell ref="A2:J2"/>
  </mergeCells>
  <dataValidations count="3">
    <dataValidation type="list" allowBlank="1" sqref="B4 B13:B16" xr:uid="{00000000-0002-0000-0600-000000000000}">
      <formula1>"Risk,Issue,Blocker,Decision"</formula1>
    </dataValidation>
    <dataValidation type="list" allowBlank="1" sqref="D4:E4 D13:E16" xr:uid="{00000000-0002-0000-0600-000001000000}">
      <formula1>"Low,Medium,High"</formula1>
    </dataValidation>
    <dataValidation type="list" allowBlank="1" sqref="I4:I29" xr:uid="{00000000-0002-0000-0600-000002000000}">
      <formula1>"Open,In progress,Resolved,Accepted,Closed"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00_Start_Here</vt:lpstr>
      <vt:lpstr>01_Project_Info</vt:lpstr>
      <vt:lpstr>02_Data_Sources</vt:lpstr>
      <vt:lpstr>03_Source_Fields</vt:lpstr>
      <vt:lpstr>04_Input_Checks</vt:lpstr>
      <vt:lpstr>05_Transformations</vt:lpstr>
      <vt:lpstr>06_Enrichment</vt:lpstr>
      <vt:lpstr>07_Target_Fields</vt:lpstr>
      <vt:lpstr>08_Output_Checks</vt:lpstr>
      <vt:lpstr>09_Destination</vt:lpstr>
      <vt:lpstr>10_Pipeline_Ops</vt:lpstr>
      <vt:lpstr>11_Risks_Log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Rana Almohethef</cp:lastModifiedBy>
  <dcterms:modified xsi:type="dcterms:W3CDTF">2026-09-27T10:19:35Z</dcterms:modified>
</cp:coreProperties>
</file>